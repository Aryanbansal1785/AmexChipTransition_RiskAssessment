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aryanbansal/Documents/Risk Management - ALY 6130/"/>
    </mc:Choice>
  </mc:AlternateContent>
  <xr:revisionPtr revIDLastSave="0" documentId="13_ncr:1_{127AE6C8-0BBC-A846-8CE8-01FEEC60B3BA}" xr6:coauthVersionLast="47" xr6:coauthVersionMax="47" xr10:uidLastSave="{00000000-0000-0000-0000-000000000000}"/>
  <bookViews>
    <workbookView xWindow="0" yWindow="740" windowWidth="29400" windowHeight="18380" firstSheet="1" activeTab="3" xr2:uid="{00000000-000D-0000-FFFF-FFFF00000000}"/>
  </bookViews>
  <sheets>
    <sheet name="Risk register" sheetId="1" r:id="rId1"/>
    <sheet name="KRI SUMMARY" sheetId="3" r:id="rId2"/>
    <sheet name="Risk calculator" sheetId="4" r:id="rId3"/>
    <sheet name="Leading Indicators"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4" l="1"/>
  <c r="F4" i="4"/>
  <c r="F3" i="4"/>
</calcChain>
</file>

<file path=xl/sharedStrings.xml><?xml version="1.0" encoding="utf-8"?>
<sst xmlns="http://schemas.openxmlformats.org/spreadsheetml/2006/main" count="131" uniqueCount="108">
  <si>
    <t>Risk #</t>
  </si>
  <si>
    <t>Date</t>
  </si>
  <si>
    <t>The Risk of/That</t>
  </si>
  <si>
    <t>Caused by</t>
  </si>
  <si>
    <t>Resulting In</t>
  </si>
  <si>
    <t>Consequence/Impact</t>
  </si>
  <si>
    <t>Likelihood Score</t>
  </si>
  <si>
    <t>Impact Score</t>
  </si>
  <si>
    <t>Risk Score</t>
  </si>
  <si>
    <t>Priority (H, M, L)</t>
  </si>
  <si>
    <t>Mitigation</t>
  </si>
  <si>
    <t>Risk Owner</t>
  </si>
  <si>
    <t>Open/Closed</t>
  </si>
  <si>
    <t>03/01/2026</t>
  </si>
  <si>
    <t>Escalating financial losses from Card-Not-Present (CNP) fraud</t>
  </si>
  <si>
    <t>Displacement of fraudsters from EMV-secured in-store transactions to unprotected online channels following the U.S. EMV liability shift</t>
  </si>
  <si>
    <t>Increased chargeback costs, erosion of premium cardholder trust, and reputational damage to American Express's brand</t>
  </si>
  <si>
    <t>Financial: Significant chargeback losses given Amex's high average transaction values. Operational: Increased fraud investigation workload and dispute resolution costs. Reputational: Undermined cardholder loyalty among Platinum and Centurion members.</t>
  </si>
  <si>
    <t>Declining cardholder utility and market share loss due to widening merchant acceptance gap</t>
  </si>
  <si>
    <t>American Express's slower EMV terminal certification process relative to Visa and Mastercard's open-loop network deployment speed</t>
  </si>
  <si>
    <t>Reduced card usage at non-accepting merchants, lower interchange revenue, and loss of cardholders to competitor networks</t>
  </si>
  <si>
    <t>Financial: Reduced transaction fee and interchange income. Strategic: Weakened value proposition vs. Visa/Mastercard, especially for everyday spending. Operational: Increased merchant acquisition and incentive spending required to close the gap.</t>
  </si>
  <si>
    <t>H</t>
  </si>
  <si>
    <t>Accelerate EMV terminal certification programs; offer merchant incentives for Amex acceptance; streamline closed-loop certification requirements; monitor monthly merchant acceptance rate gap vs. competitors</t>
  </si>
  <si>
    <t>VP Merchant Relations / Chief Commercial Officer</t>
  </si>
  <si>
    <t>Open</t>
  </si>
  <si>
    <t>Deploy enhanced authentication (3D Secure, OTPs); invest in AI-based fraud detection; monthly KRI monitoring of CNP fraud rate as % of online transaction volume</t>
  </si>
  <si>
    <t>Chief Risk Officer / Fraud Operations Team</t>
  </si>
  <si>
    <t>Priority (H,M,L)</t>
  </si>
  <si>
    <t>Failing to fully capture the contactless and mobile wallet payment opportunity</t>
  </si>
  <si>
    <t>Insufficient Expresspay merchant adoption and limited integration with major mobile wallet platforms (Apple Pay, Google Pay)</t>
  </si>
  <si>
    <t>Missed revenue growth, reduced cardholder engagement, and loss of competitive advantage in the frictionless payments market</t>
  </si>
  <si>
    <t>Financial (Opportunity): Successful Expresspay expansion could significantly increase transaction volumes and interchange revenue. Strategic: Positions Amex competitively in digital payments and attracts younger, tech-savvy consumers. Operational Risk if Missed: Costly catch-up investments if contactless growth stalls.</t>
  </si>
  <si>
    <t>M</t>
  </si>
  <si>
    <t>Expand Expresspay merchant enablement programs; strengthen Apple Pay/Google Pay integration incentives; launch cardholder awareness campaigns; monitor monthly contactless transaction growth rate</t>
  </si>
  <si>
    <t>Chief Digital Officer / VP Product Innovation</t>
  </si>
  <si>
    <r>
      <t>Scoring Scale:</t>
    </r>
    <r>
      <rPr>
        <sz val="12"/>
        <color rgb="FF030712"/>
        <rFont val="Arial"/>
        <family val="2"/>
      </rPr>
      <t> 1 (Very Low) → 5 (Very High)  |  Risk Score = Likelihood × Impact</t>
    </r>
  </si>
  <si>
    <r>
      <rPr>
        <sz val="12"/>
        <color rgb="FFFF0000"/>
        <rFont val="Calibri"/>
        <family val="2"/>
      </rPr>
      <t xml:space="preserve">🔴 </t>
    </r>
    <r>
      <rPr>
        <sz val="12"/>
        <color theme="1"/>
        <rFont val="Calibri"/>
        <family val="2"/>
      </rPr>
      <t>High (H): Score 15–25</t>
    </r>
  </si>
  <si>
    <r>
      <rPr>
        <b/>
        <sz val="12"/>
        <color rgb="FFFFFF00"/>
        <rFont val="Arial"/>
        <family val="2"/>
      </rPr>
      <t>🟡</t>
    </r>
    <r>
      <rPr>
        <b/>
        <sz val="12"/>
        <color rgb="FF030712"/>
        <rFont val="Arial"/>
        <family val="2"/>
      </rPr>
      <t xml:space="preserve"> Medium (M)</t>
    </r>
    <r>
      <rPr>
        <sz val="12"/>
        <color rgb="FF030712"/>
        <rFont val="Arial"/>
        <family val="2"/>
      </rPr>
      <t>: Score 8–14</t>
    </r>
  </si>
  <si>
    <r>
      <rPr>
        <b/>
        <sz val="12"/>
        <color rgb="FF00B050"/>
        <rFont val="Arial"/>
        <family val="2"/>
      </rPr>
      <t>🟢</t>
    </r>
    <r>
      <rPr>
        <b/>
        <sz val="12"/>
        <color rgb="FF030712"/>
        <rFont val="Arial"/>
        <family val="2"/>
      </rPr>
      <t xml:space="preserve"> Low (L)</t>
    </r>
    <r>
      <rPr>
        <sz val="12"/>
        <color rgb="FF030712"/>
        <rFont val="Arial"/>
        <family val="2"/>
      </rPr>
      <t>: Score 1–7</t>
    </r>
  </si>
  <si>
    <r>
      <t>Risk 1 – CNP Fraud</t>
    </r>
    <r>
      <rPr>
        <sz val="12"/>
        <color rgb="FF030712"/>
        <rFont val="Arial"/>
        <family val="2"/>
      </rPr>
      <t> — </t>
    </r>
    <r>
      <rPr>
        <sz val="12"/>
        <color rgb="FFFF4444"/>
        <rFont val="Arial"/>
        <family val="2"/>
      </rPr>
      <t>Negative ❌</t>
    </r>
  </si>
  <si>
    <r>
      <t>Risk 2 – Merchant Acceptance Gap</t>
    </r>
    <r>
      <rPr>
        <sz val="12"/>
        <color rgb="FF030712"/>
        <rFont val="Arial"/>
        <family val="2"/>
      </rPr>
      <t> — </t>
    </r>
    <r>
      <rPr>
        <sz val="12"/>
        <color rgb="FFFF4444"/>
        <rFont val="Arial"/>
        <family val="2"/>
      </rPr>
      <t>Negative ❌</t>
    </r>
  </si>
  <si>
    <r>
      <t>Risk 3 – Expresspay Opportunity</t>
    </r>
    <r>
      <rPr>
        <sz val="14"/>
        <color rgb="FF030712"/>
        <rFont val="Arial"/>
        <family val="2"/>
      </rPr>
      <t> — </t>
    </r>
    <r>
      <rPr>
        <sz val="14"/>
        <color rgb="FF1E8449"/>
        <rFont val="Arial"/>
        <family val="2"/>
      </rPr>
      <t>Positive ✅</t>
    </r>
  </si>
  <si>
    <t>RISK</t>
  </si>
  <si>
    <t>PROBLEM STATEMENT</t>
  </si>
  <si>
    <t>GREEN</t>
  </si>
  <si>
    <t>AMBER</t>
  </si>
  <si>
    <t>RED</t>
  </si>
  <si>
    <t>RED:    Below 2% or declining — immediate strategic review, accelerate Expresspay enrollment</t>
  </si>
  <si>
    <t>AMBER:  2% to 5% growth — review marketing and merchant enablement strategy</t>
  </si>
  <si>
    <t xml:space="preserve"> Fraudsters are shifting from EMV-secured in-store transactions to unprotected online channels following the U.S. EMV liability shift. American Express's high average transaction values make its cardholders a prime target for CNP fraud, requiring immediate monitoring to protect premium cardholder trust and limit chargeback losses.</t>
  </si>
  <si>
    <t xml:space="preserve">Risk 001 </t>
  </si>
  <si>
    <t xml:space="preserve">Risk 002 </t>
  </si>
  <si>
    <t xml:space="preserve">Risk 003 </t>
  </si>
  <si>
    <t xml:space="preserve"> American Express's slower closed-loop EMV terminal certification process relative to Visa and Mastercard's open-loop deployment speed is widening the merchant acceptance gap. This requires monitoring now because declining merchant acceptance directly reduces cardholder utility and interchange revenue, weakening Amex's competitive position in everyday spending.</t>
  </si>
  <si>
    <t xml:space="preserve"> Growing consumer demand for contactless and frictionless payments creates a significant opportunity for American Express through its Expresspay platform. Action is required now as Apple Pay and Google Pay are rapidly locking in consumer habits, and insufficient Expresspay merchant adoption risks leaving Amex behind in the fastest-growing segment of digital payments.</t>
  </si>
  <si>
    <t xml:space="preserve"> Monthly CNP Fraud Rate — % of total online transactions flagged as fraudulent</t>
  </si>
  <si>
    <t>Monthly Merchant Acceptance Rate — % of U.S. merchants accepting Amex compared to Visa/Mastercard coverage</t>
  </si>
  <si>
    <t xml:space="preserve"> Monthly Contactless Transaction Growth Rate — % month-over-month growth in Expresspay and mobile wallet transactions</t>
  </si>
  <si>
    <t>Green (Optimized) | CNP fraud rate below 0.1% — risk within normal tolerance, no action required</t>
  </si>
  <si>
    <t>Green (Optimized) | Amex acceptance rate above 85% of Visa/Mastercard coverage — risk within normal appetite</t>
  </si>
  <si>
    <t>Green (Optimized) | Month-over-month growth above 5% — opportunity being captured effectively, continue current strategy</t>
  </si>
  <si>
    <t>Amber (Warning) | CNP fraud rate between 0.1% and 0.3% — review fraud detection algorithms, strengthen authentication requirements (3D Secure, OTPs)</t>
  </si>
  <si>
    <t>Amber (Warning) | Acceptance rate drops to 75%–85% — activate merchant outreach program, offer terminal upgrade incentives, streamline closed-loop certification requirements</t>
  </si>
  <si>
    <t>Red (Critical) | Acceptance rate falls below 75% — immediate escalation to VP Merchant Relations and Chief Commercial Officer, launch emergency merchant acquisition and incentive campaign</t>
  </si>
  <si>
    <t>Red (Critical) | CNP fraud rate above 0.3% — immediate escalation to Chief Risk Officer, activate fraud response plan, notify affected Platinum and Centurion cardholders</t>
  </si>
  <si>
    <t xml:space="preserve">KRI SUMMARY </t>
  </si>
  <si>
    <t>Risk Calculation Matrix — American Express EMV Transition</t>
  </si>
  <si>
    <t>Risk Name</t>
  </si>
  <si>
    <t>Risk Type</t>
  </si>
  <si>
    <t>Likelihood (1-5)</t>
  </si>
  <si>
    <t>Impact (1-5)</t>
  </si>
  <si>
    <t>Risk Score (L x I)</t>
  </si>
  <si>
    <t>Priority</t>
  </si>
  <si>
    <t>CNP Fraud Escalation</t>
  </si>
  <si>
    <t>Negative / Competitive</t>
  </si>
  <si>
    <t>HIGH</t>
  </si>
  <si>
    <t>Merchant Acceptance Gap</t>
  </si>
  <si>
    <t>Expresspay Opportunity</t>
  </si>
  <si>
    <t>Positive / Strategic</t>
  </si>
  <si>
    <t>MEDIUM</t>
  </si>
  <si>
    <t>Priority Scale:</t>
  </si>
  <si>
    <t>HIGH (H) = Score 15-25</t>
  </si>
  <si>
    <t>MEDIUM (M) = Score 8-14</t>
  </si>
  <si>
    <t>LOW (L) = Score 1-7</t>
  </si>
  <si>
    <t>KRI METRICS</t>
  </si>
  <si>
    <t>LEADING INDICATORS — American Express EMV Transition</t>
  </si>
  <si>
    <t>Risk Name &amp; Type</t>
  </si>
  <si>
    <t>Lagging Equivalent</t>
  </si>
  <si>
    <t>Risk 001</t>
  </si>
  <si>
    <t>This metric rises BEFORE financial losses appear on income statements. A spike in flagged online transactions signals fraud migration is underway, giving Amex 30-60 days to strengthen authentication before chargeback losses actually materialize. It predicts the future impact, not records it.</t>
  </si>
  <si>
    <t>Monthly</t>
  </si>
  <si>
    <t>Risk 002</t>
  </si>
  <si>
    <t>A declining acceptance rate predicts cardholder dissatisfaction and eventual network switching BEFORE revenue loss shows up in financials. Cardholders frustrated by declined cards will switch networks within months — this metric catches that trend early enough to intervene with merchant incentives.</t>
  </si>
  <si>
    <t>Risk 003</t>
  </si>
  <si>
    <t>Slowing growth rate signals consumer habit formation is shifting to competitors (Apple Pay, Google Pay) BEFORE Amex permanently loses contactless market share. Consumer payment habits, once formed, are very hard to reverse — this metric gives Amex time to accelerate enrollment before the window closes.</t>
  </si>
  <si>
    <t>KRI Metric
(Leading Indicator)</t>
  </si>
  <si>
    <t>Monitoring
Frequency</t>
  </si>
  <si>
    <t>CNP Fraud Escalation
(Negative Risk)</t>
  </si>
  <si>
    <t>Monthly CNP Fraud Rate
% of total online transactions flagged as fraudulent</t>
  </si>
  <si>
    <t>Total quarterly chargeback losses
Fraud write-offs in financial statements
(Both only tell you damage already done — too late to prevent)</t>
  </si>
  <si>
    <t>Merchant Acceptance Gap
(Negative Risk)</t>
  </si>
  <si>
    <t>Monthly Merchant Acceptance Rate
% of U.S. merchants accepting Amex vs. Visa/Mastercard coverage</t>
  </si>
  <si>
    <t>Lost interchange revenue
Cardholder attrition rate
(Both only confirm losses already incurred — no time to recover)</t>
  </si>
  <si>
    <t>Expresspay Opportunity
(Positive Risk)</t>
  </si>
  <si>
    <t>Monthly Contactless Transaction Growth Rate
% month-over-month growth in Expresspay &amp; mobile wallet transactions</t>
  </si>
  <si>
    <t xml:space="preserve">Why It Is Leading
</t>
  </si>
  <si>
    <t>Total Expresspay revenue generated in the quarter — this only confirms the opportunity was already captured. By the time this number looks good, the growth already happened without any early warning input from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</si>
</sst>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Arial"/>
    </font>
    <font>
      <sz val="11"/>
      <color theme="1"/>
      <name val="Calibri"/>
      <family val="2"/>
    </font>
    <font>
      <b/>
      <sz val="12"/>
      <color rgb="FF030712"/>
      <name val="Arial"/>
      <family val="2"/>
    </font>
    <font>
      <sz val="12"/>
      <color rgb="FF030712"/>
      <name val="Arial"/>
      <family val="2"/>
    </font>
    <font>
      <sz val="12"/>
      <color theme="1"/>
      <name val="Calibri"/>
      <family val="2"/>
    </font>
    <font>
      <sz val="12"/>
      <color rgb="FFFF0000"/>
      <name val="Calibri"/>
      <family val="2"/>
    </font>
    <font>
      <b/>
      <sz val="14"/>
      <color rgb="FF030712"/>
      <name val="Arial"/>
      <family val="2"/>
    </font>
    <font>
      <sz val="14"/>
      <color rgb="FF030712"/>
      <name val="Arial"/>
      <family val="2"/>
    </font>
    <font>
      <b/>
      <sz val="12"/>
      <color rgb="FFFFFF00"/>
      <name val="Arial"/>
      <family val="2"/>
    </font>
    <font>
      <b/>
      <sz val="12"/>
      <color rgb="FF00B050"/>
      <name val="Arial"/>
      <family val="2"/>
    </font>
    <font>
      <sz val="12"/>
      <color rgb="FFFF4444"/>
      <name val="Arial"/>
      <family val="2"/>
    </font>
    <font>
      <sz val="14"/>
      <color rgb="FF1E8449"/>
      <name val="Arial"/>
      <family val="2"/>
    </font>
    <font>
      <sz val="11"/>
      <color theme="1"/>
      <name val="Arial"/>
      <family val="2"/>
    </font>
    <font>
      <sz val="14"/>
      <color theme="1"/>
      <name val="Arial"/>
      <family val="2"/>
    </font>
    <font>
      <b/>
      <sz val="16"/>
      <color theme="1"/>
      <name val="Arial"/>
      <family val="2"/>
    </font>
    <font>
      <b/>
      <sz val="24"/>
      <color theme="1"/>
      <name val="Arial"/>
      <family val="2"/>
    </font>
    <font>
      <b/>
      <sz val="13"/>
      <color rgb="FFFFFFFF"/>
      <name val="Arial"/>
      <family val="2"/>
    </font>
    <font>
      <b/>
      <sz val="10"/>
      <color rgb="FFFFFFFF"/>
      <name val="Arial"/>
      <family val="2"/>
    </font>
    <font>
      <sz val="10"/>
      <color rgb="FF000000"/>
      <name val="Arial"/>
      <family val="2"/>
    </font>
    <font>
      <b/>
      <sz val="9"/>
      <color theme="1"/>
      <name val="Arial"/>
      <family val="2"/>
    </font>
    <font>
      <b/>
      <sz val="9"/>
      <color rgb="FFFF0000"/>
      <name val="Arial"/>
      <family val="2"/>
    </font>
    <font>
      <b/>
      <sz val="9"/>
      <color rgb="FFFF9900"/>
      <name val="Arial"/>
      <family val="2"/>
    </font>
    <font>
      <b/>
      <sz val="9"/>
      <color rgb="FF008000"/>
      <name val="Arial"/>
      <family val="2"/>
    </font>
    <font>
      <b/>
      <sz val="10"/>
      <color theme="1"/>
      <name val="Arial"/>
      <family val="2"/>
    </font>
    <font>
      <b/>
      <sz val="12"/>
      <color rgb="FF000000"/>
      <name val="Arial"/>
      <family val="2"/>
    </font>
    <font>
      <b/>
      <sz val="12"/>
      <color rgb="FFFFFFFF"/>
      <name val="Arial"/>
      <family val="2"/>
    </font>
    <font>
      <b/>
      <sz val="12"/>
      <color rgb="FF222222"/>
      <name val="Arial"/>
      <family val="2"/>
    </font>
    <font>
      <sz val="12"/>
      <color rgb="FF222222"/>
      <name val="Arial"/>
      <family val="2"/>
    </font>
    <font>
      <b/>
      <sz val="12"/>
      <color rgb="FFFF4444"/>
      <name val="Arial"/>
      <family val="2"/>
    </font>
    <font>
      <b/>
      <sz val="12"/>
      <color rgb="FFFFAA00"/>
      <name val="Arial"/>
      <family val="2"/>
    </font>
    <font>
      <sz val="12"/>
      <color theme="1"/>
      <name val="Arial"/>
      <family val="2"/>
    </font>
    <font>
      <b/>
      <sz val="12"/>
      <name val="Arial"/>
      <family val="2"/>
    </font>
    <font>
      <sz val="12"/>
      <name val="Arial"/>
      <family val="2"/>
    </font>
  </fonts>
  <fills count="21">
    <fill>
      <patternFill patternType="none"/>
    </fill>
    <fill>
      <patternFill patternType="gray125"/>
    </fill>
    <fill>
      <patternFill patternType="solid">
        <fgColor rgb="FFFFFF00"/>
        <bgColor rgb="FFFFFF00"/>
      </patternFill>
    </fill>
    <fill>
      <patternFill patternType="solid">
        <fgColor rgb="FF00B050"/>
        <bgColor rgb="FF00B050"/>
      </patternFill>
    </fill>
    <fill>
      <patternFill patternType="solid">
        <fgColor rgb="FFFFFFFF"/>
        <bgColor indexed="64"/>
      </patternFill>
    </fill>
    <fill>
      <patternFill patternType="solid">
        <fgColor rgb="FFEAF4FB"/>
        <bgColor indexed="64"/>
      </patternFill>
    </fill>
    <fill>
      <patternFill patternType="solid">
        <fgColor rgb="FFF1C40F"/>
        <bgColor indexed="64"/>
      </patternFill>
    </fill>
    <fill>
      <patternFill patternType="solid">
        <fgColor rgb="FF1E8449"/>
        <bgColor indexed="64"/>
      </patternFill>
    </fill>
    <fill>
      <patternFill patternType="solid">
        <fgColor rgb="FF1F4E79"/>
        <bgColor rgb="FF1F4E79"/>
      </patternFill>
    </fill>
    <fill>
      <patternFill patternType="solid">
        <fgColor rgb="FFFF0000"/>
        <bgColor rgb="FFFF0000"/>
      </patternFill>
    </fill>
    <fill>
      <patternFill patternType="solid">
        <fgColor rgb="FFFFC000"/>
        <bgColor rgb="FFFFC000"/>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rgb="FF7030A0"/>
        <bgColor rgb="FF7030A0"/>
      </patternFill>
    </fill>
    <fill>
      <patternFill patternType="solid">
        <fgColor theme="0"/>
        <bgColor rgb="FF00B050"/>
      </patternFill>
    </fill>
    <fill>
      <patternFill patternType="solid">
        <fgColor theme="0"/>
        <bgColor rgb="FF2E75B6"/>
      </patternFill>
    </fill>
    <fill>
      <patternFill patternType="solid">
        <fgColor theme="0"/>
        <bgColor rgb="FFFFE0E0"/>
      </patternFill>
    </fill>
    <fill>
      <patternFill patternType="solid">
        <fgColor theme="0"/>
        <bgColor rgb="FFE2D3F0"/>
      </patternFill>
    </fill>
    <fill>
      <patternFill patternType="solid">
        <fgColor theme="0"/>
        <bgColor rgb="FFE2EFDA"/>
      </patternFill>
    </fill>
    <fill>
      <patternFill patternType="solid">
        <fgColor theme="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medium">
        <color rgb="FFDDDDDD"/>
      </left>
      <right style="medium">
        <color rgb="FFDDDDDD"/>
      </right>
      <top style="medium">
        <color rgb="FFDDDDDD"/>
      </top>
      <bottom style="medium">
        <color rgb="FFDDDDDD"/>
      </bottom>
      <diagonal/>
    </border>
    <border>
      <left style="thin">
        <color indexed="64"/>
      </left>
      <right style="thin">
        <color indexed="64"/>
      </right>
      <top style="thin">
        <color indexed="64"/>
      </top>
      <bottom style="thin">
        <color indexed="64"/>
      </bottom>
      <diagonal/>
    </border>
    <border>
      <left style="medium">
        <color rgb="FFBBBBBB"/>
      </left>
      <right style="medium">
        <color rgb="FFBBBBBB"/>
      </right>
      <top style="medium">
        <color rgb="FFBBBBBB"/>
      </top>
      <bottom style="medium">
        <color rgb="FFBBBBBB"/>
      </bottom>
      <diagonal/>
    </border>
    <border>
      <left style="medium">
        <color rgb="FFDDDDDD"/>
      </left>
      <right style="medium">
        <color rgb="FFDDDDDD"/>
      </right>
      <top style="medium">
        <color rgb="FFDDDDDD"/>
      </top>
      <bottom/>
      <diagonal/>
    </border>
    <border>
      <left/>
      <right/>
      <top/>
      <bottom style="thin">
        <color rgb="FF000000"/>
      </bottom>
      <diagonal/>
    </border>
  </borders>
  <cellStyleXfs count="1">
    <xf numFmtId="0" fontId="0" fillId="0" borderId="0"/>
  </cellStyleXfs>
  <cellXfs count="59">
    <xf numFmtId="0" fontId="0" fillId="0" borderId="0" xfId="0"/>
    <xf numFmtId="0" fontId="1" fillId="0" borderId="0" xfId="0" applyFont="1" applyAlignment="1">
      <alignment vertical="top"/>
    </xf>
    <xf numFmtId="0" fontId="1" fillId="0" borderId="3" xfId="0" applyFont="1" applyBorder="1" applyAlignment="1">
      <alignment vertical="top"/>
    </xf>
    <xf numFmtId="0" fontId="2" fillId="0" borderId="2" xfId="0" applyFont="1" applyBorder="1" applyAlignment="1">
      <alignment vertical="center" wrapText="1"/>
    </xf>
    <xf numFmtId="0" fontId="2" fillId="0" borderId="0" xfId="0" applyFont="1"/>
    <xf numFmtId="0" fontId="4" fillId="0" borderId="0" xfId="0" applyFont="1" applyAlignment="1">
      <alignment vertical="top"/>
    </xf>
    <xf numFmtId="0" fontId="6" fillId="0" borderId="0" xfId="0" applyFont="1"/>
    <xf numFmtId="0" fontId="0" fillId="0" borderId="0" xfId="0" applyAlignment="1">
      <alignment horizontal="left" vertical="top" wrapText="1"/>
    </xf>
    <xf numFmtId="0" fontId="13" fillId="0" borderId="0" xfId="0" applyFont="1" applyAlignment="1">
      <alignment horizontal="left" vertical="top" wrapText="1"/>
    </xf>
    <xf numFmtId="0" fontId="0" fillId="0" borderId="0" xfId="0" applyAlignment="1">
      <alignment wrapText="1"/>
    </xf>
    <xf numFmtId="0" fontId="12" fillId="0" borderId="0" xfId="0" applyFont="1" applyAlignment="1">
      <alignment wrapText="1"/>
    </xf>
    <xf numFmtId="0" fontId="13" fillId="0" borderId="0" xfId="0" applyFont="1" applyAlignment="1">
      <alignment horizontal="left" wrapText="1"/>
    </xf>
    <xf numFmtId="0" fontId="14" fillId="0" borderId="0" xfId="0" applyFont="1" applyAlignment="1">
      <alignment horizontal="left" wrapText="1"/>
    </xf>
    <xf numFmtId="0" fontId="15" fillId="0" borderId="0" xfId="0" applyFont="1" applyAlignment="1">
      <alignment vertical="top" wrapText="1"/>
    </xf>
    <xf numFmtId="0" fontId="13" fillId="0" borderId="0" xfId="0" applyFont="1" applyAlignment="1">
      <alignment vertical="center"/>
    </xf>
    <xf numFmtId="0" fontId="13" fillId="0" borderId="0" xfId="0" applyFont="1" applyAlignment="1">
      <alignment vertical="top" wrapText="1"/>
    </xf>
    <xf numFmtId="0" fontId="16" fillId="8" borderId="0" xfId="0" applyFont="1" applyFill="1" applyAlignment="1">
      <alignment horizontal="center" vertical="center" wrapText="1"/>
    </xf>
    <xf numFmtId="0" fontId="0" fillId="0" borderId="0" xfId="0"/>
    <xf numFmtId="0" fontId="18" fillId="0" borderId="1" xfId="0" applyFont="1" applyBorder="1" applyAlignment="1">
      <alignment horizontal="center" vertical="center" wrapText="1"/>
    </xf>
    <xf numFmtId="0" fontId="17" fillId="9" borderId="1" xfId="0" applyFont="1" applyFill="1" applyBorder="1" applyAlignment="1">
      <alignment horizontal="center" vertical="center" wrapText="1"/>
    </xf>
    <xf numFmtId="0" fontId="17" fillId="10" borderId="1" xfId="0" applyFont="1" applyFill="1" applyBorder="1" applyAlignment="1">
      <alignment horizontal="center" vertical="center" wrapText="1"/>
    </xf>
    <xf numFmtId="0" fontId="19" fillId="0" borderId="0" xfId="0" applyFont="1"/>
    <xf numFmtId="0" fontId="20" fillId="0" borderId="0" xfId="0" applyFont="1"/>
    <xf numFmtId="0" fontId="21" fillId="0" borderId="0" xfId="0" applyFont="1"/>
    <xf numFmtId="0" fontId="22" fillId="0" borderId="0" xfId="0" applyFont="1"/>
    <xf numFmtId="0" fontId="14" fillId="11" borderId="0" xfId="0" applyFont="1" applyFill="1" applyAlignment="1">
      <alignment horizontal="left" wrapText="1"/>
    </xf>
    <xf numFmtId="0" fontId="14" fillId="12" borderId="0" xfId="0" applyFont="1" applyFill="1" applyAlignment="1">
      <alignment horizontal="left" wrapText="1"/>
    </xf>
    <xf numFmtId="0" fontId="14" fillId="13" borderId="0" xfId="0" applyFont="1" applyFill="1" applyAlignment="1">
      <alignment horizontal="left" wrapText="1"/>
    </xf>
    <xf numFmtId="0" fontId="23" fillId="16" borderId="1" xfId="0" applyFont="1" applyFill="1" applyBorder="1" applyAlignment="1">
      <alignment horizontal="center" vertical="center" wrapText="1"/>
    </xf>
    <xf numFmtId="0" fontId="24" fillId="2" borderId="1" xfId="0" applyFont="1" applyFill="1" applyBorder="1" applyAlignment="1">
      <alignment horizontal="left" vertical="top" wrapText="1" readingOrder="1"/>
    </xf>
    <xf numFmtId="0" fontId="24" fillId="3" borderId="1" xfId="0" applyFont="1" applyFill="1" applyBorder="1" applyAlignment="1">
      <alignment horizontal="left" vertical="top" wrapText="1" readingOrder="1"/>
    </xf>
    <xf numFmtId="0" fontId="24" fillId="6" borderId="4" xfId="0" applyFont="1" applyFill="1" applyBorder="1" applyAlignment="1">
      <alignment horizontal="center" vertical="center" wrapText="1"/>
    </xf>
    <xf numFmtId="0" fontId="25" fillId="7" borderId="4" xfId="0" applyFont="1" applyFill="1" applyBorder="1" applyAlignment="1">
      <alignment horizontal="center" vertical="center" wrapText="1"/>
    </xf>
    <xf numFmtId="0" fontId="26" fillId="5" borderId="2" xfId="0" applyFont="1" applyFill="1" applyBorder="1" applyAlignment="1">
      <alignment horizontal="center" vertical="top" wrapText="1"/>
    </xf>
    <xf numFmtId="0" fontId="27" fillId="5" borderId="2" xfId="0" applyFont="1" applyFill="1" applyBorder="1" applyAlignment="1">
      <alignment horizontal="center" vertical="top" wrapText="1"/>
    </xf>
    <xf numFmtId="0" fontId="27" fillId="5" borderId="2" xfId="0" applyFont="1" applyFill="1" applyBorder="1" applyAlignment="1">
      <alignment horizontal="left" vertical="top" wrapText="1"/>
    </xf>
    <xf numFmtId="0" fontId="28" fillId="5" borderId="2" xfId="0" applyFont="1" applyFill="1" applyBorder="1" applyAlignment="1">
      <alignment horizontal="center" vertical="top" wrapText="1"/>
    </xf>
    <xf numFmtId="0" fontId="26" fillId="5" borderId="5" xfId="0" applyFont="1" applyFill="1" applyBorder="1" applyAlignment="1">
      <alignment horizontal="center" vertical="top" wrapText="1"/>
    </xf>
    <xf numFmtId="0" fontId="27" fillId="5" borderId="5" xfId="0" applyFont="1" applyFill="1" applyBorder="1" applyAlignment="1">
      <alignment horizontal="center" vertical="top" wrapText="1"/>
    </xf>
    <xf numFmtId="0" fontId="27" fillId="5" borderId="5" xfId="0" applyFont="1" applyFill="1" applyBorder="1" applyAlignment="1">
      <alignment horizontal="left" vertical="top" wrapText="1"/>
    </xf>
    <xf numFmtId="0" fontId="28" fillId="5" borderId="5" xfId="0" applyFont="1" applyFill="1" applyBorder="1" applyAlignment="1">
      <alignment horizontal="center" vertical="top" wrapText="1"/>
    </xf>
    <xf numFmtId="0" fontId="26" fillId="4" borderId="2" xfId="0" applyFont="1" applyFill="1" applyBorder="1" applyAlignment="1">
      <alignment horizontal="center" vertical="top" wrapText="1"/>
    </xf>
    <xf numFmtId="0" fontId="27" fillId="4" borderId="2" xfId="0" applyFont="1" applyFill="1" applyBorder="1" applyAlignment="1">
      <alignment horizontal="center" vertical="top" wrapText="1"/>
    </xf>
    <xf numFmtId="0" fontId="27" fillId="4" borderId="2" xfId="0" applyFont="1" applyFill="1" applyBorder="1" applyAlignment="1">
      <alignment horizontal="left" vertical="top" wrapText="1"/>
    </xf>
    <xf numFmtId="0" fontId="29" fillId="4" borderId="2" xfId="0" applyFont="1" applyFill="1" applyBorder="1" applyAlignment="1">
      <alignment horizontal="center" vertical="top" wrapText="1"/>
    </xf>
    <xf numFmtId="0" fontId="24" fillId="10" borderId="1" xfId="0" applyFont="1" applyFill="1" applyBorder="1" applyAlignment="1">
      <alignment horizontal="center" vertical="center" wrapText="1"/>
    </xf>
    <xf numFmtId="0" fontId="25" fillId="14" borderId="1" xfId="0" applyFont="1" applyFill="1" applyBorder="1" applyAlignment="1">
      <alignment horizontal="center" vertical="center" wrapText="1"/>
    </xf>
    <xf numFmtId="0" fontId="25" fillId="9"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31" fillId="0" borderId="1" xfId="0" applyFont="1" applyBorder="1" applyAlignment="1">
      <alignment vertical="top" wrapText="1"/>
    </xf>
    <xf numFmtId="0" fontId="31" fillId="17" borderId="1" xfId="0" applyFont="1" applyFill="1" applyBorder="1" applyAlignment="1">
      <alignment vertical="top" wrapText="1"/>
    </xf>
    <xf numFmtId="0" fontId="32" fillId="18" borderId="1" xfId="0" applyFont="1" applyFill="1" applyBorder="1" applyAlignment="1">
      <alignment vertical="top" wrapText="1"/>
    </xf>
    <xf numFmtId="0" fontId="32" fillId="0" borderId="1" xfId="0" applyFont="1" applyBorder="1" applyAlignment="1">
      <alignment vertical="top" wrapText="1"/>
    </xf>
    <xf numFmtId="0" fontId="32" fillId="0" borderId="1" xfId="0" applyFont="1" applyBorder="1" applyAlignment="1">
      <alignment horizontal="center" vertical="top" wrapText="1"/>
    </xf>
    <xf numFmtId="0" fontId="31" fillId="19" borderId="1" xfId="0" applyFont="1" applyFill="1" applyBorder="1" applyAlignment="1">
      <alignment vertical="top" wrapText="1"/>
    </xf>
    <xf numFmtId="0" fontId="25" fillId="15" borderId="1" xfId="0" applyFont="1" applyFill="1" applyBorder="1" applyAlignment="1">
      <alignment horizontal="center" vertical="center" wrapText="1"/>
    </xf>
    <xf numFmtId="0" fontId="32" fillId="20" borderId="1" xfId="0" applyFont="1" applyFill="1" applyBorder="1" applyAlignment="1">
      <alignment vertical="top" wrapText="1"/>
    </xf>
    <xf numFmtId="0" fontId="25" fillId="8" borderId="6" xfId="0" applyFont="1" applyFill="1" applyBorder="1" applyAlignment="1">
      <alignment horizontal="center" vertical="center" wrapText="1"/>
    </xf>
    <xf numFmtId="0" fontId="30" fillId="0" borderId="6" xfId="0" applyFont="1" applyBorder="1"/>
  </cellXfs>
  <cellStyles count="1">
    <cellStyle name="Normal" xfId="0" builtinId="0"/>
  </cellStyles>
  <dxfs count="8">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A6FDE1-C895-CA4B-B4DD-CC4C3A987B87}" name="Table3" displayName="Table3" ref="D6:I12" headerRowCount="0" totalsRowShown="0" headerRowDxfId="7" dataDxfId="6">
  <tableColumns count="6">
    <tableColumn id="1" xr3:uid="{C1262AAE-0E4F-D245-9DAD-6EECFD7015E9}" name="Column1" dataDxfId="5"/>
    <tableColumn id="2" xr3:uid="{AF1265FA-6186-C647-A3F8-31C343F83DC6}" name="Column2" dataDxfId="4"/>
    <tableColumn id="3" xr3:uid="{2A3C7FC9-95F5-094D-9CC8-53F0B66CADCD}" name="Column3" dataDxfId="3"/>
    <tableColumn id="4" xr3:uid="{77E7BFB2-179C-3641-9D4E-7C0D2D9C7800}" name="Column4" dataDxfId="2"/>
    <tableColumn id="5" xr3:uid="{456FAF75-711D-9441-826A-7E9A70FFA74C}" name="Column5" dataDxfId="1"/>
    <tableColumn id="6" xr3:uid="{ED5B7121-530E-7340-9B85-C2E0EC9E0CA1}" name="Column6" dataDxfId="0"/>
  </tableColumns>
  <tableStyleInfo name="TableStyleLight1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opLeftCell="A16" workbookViewId="0">
      <selection activeCell="G4" sqref="G4"/>
    </sheetView>
  </sheetViews>
  <sheetFormatPr baseColWidth="10" defaultColWidth="12.6640625" defaultRowHeight="15" customHeight="1" x14ac:dyDescent="0.15"/>
  <cols>
    <col min="1" max="1" width="5.6640625" customWidth="1"/>
    <col min="2" max="2" width="9.83203125" customWidth="1"/>
    <col min="3" max="3" width="37.1640625" customWidth="1"/>
    <col min="4" max="4" width="28.33203125" customWidth="1"/>
    <col min="5" max="5" width="36.5" customWidth="1"/>
    <col min="6" max="6" width="24.5" customWidth="1"/>
    <col min="7" max="7" width="17.1640625" customWidth="1"/>
    <col min="8" max="8" width="14.1640625" customWidth="1"/>
    <col min="9" max="9" width="12.83203125" customWidth="1"/>
    <col min="10" max="10" width="20.6640625" customWidth="1"/>
    <col min="11" max="11" width="22.83203125" customWidth="1"/>
    <col min="12" max="12" width="15" customWidth="1"/>
    <col min="13" max="13" width="14.33203125" customWidth="1"/>
    <col min="14" max="26" width="7.83203125" customWidth="1"/>
  </cols>
  <sheetData>
    <row r="1" spans="1:26" ht="69" thickBot="1" x14ac:dyDescent="0.2">
      <c r="A1" s="29" t="s">
        <v>0</v>
      </c>
      <c r="B1" s="29" t="s">
        <v>1</v>
      </c>
      <c r="C1" s="29" t="s">
        <v>2</v>
      </c>
      <c r="D1" s="29" t="s">
        <v>3</v>
      </c>
      <c r="E1" s="29" t="s">
        <v>4</v>
      </c>
      <c r="F1" s="29" t="s">
        <v>5</v>
      </c>
      <c r="G1" s="30" t="s">
        <v>6</v>
      </c>
      <c r="H1" s="30" t="s">
        <v>7</v>
      </c>
      <c r="I1" s="30" t="s">
        <v>8</v>
      </c>
      <c r="J1" s="30" t="s">
        <v>9</v>
      </c>
      <c r="K1" s="30" t="s">
        <v>10</v>
      </c>
      <c r="L1" s="30" t="s">
        <v>11</v>
      </c>
      <c r="M1" s="29" t="s">
        <v>12</v>
      </c>
      <c r="N1" s="1"/>
      <c r="O1" s="1"/>
      <c r="P1" s="1"/>
      <c r="Q1" s="1"/>
      <c r="R1" s="1"/>
      <c r="S1" s="1"/>
      <c r="T1" s="1"/>
      <c r="U1" s="1"/>
      <c r="V1" s="1"/>
      <c r="W1" s="1"/>
      <c r="X1" s="1"/>
      <c r="Y1" s="1"/>
      <c r="Z1" s="1"/>
    </row>
    <row r="2" spans="1:26" ht="69" thickBot="1" x14ac:dyDescent="0.2">
      <c r="A2" s="31" t="s">
        <v>0</v>
      </c>
      <c r="B2" s="31" t="s">
        <v>1</v>
      </c>
      <c r="C2" s="31" t="s">
        <v>2</v>
      </c>
      <c r="D2" s="31" t="s">
        <v>3</v>
      </c>
      <c r="E2" s="31" t="s">
        <v>4</v>
      </c>
      <c r="F2" s="31" t="s">
        <v>5</v>
      </c>
      <c r="G2" s="32" t="s">
        <v>6</v>
      </c>
      <c r="H2" s="32" t="s">
        <v>7</v>
      </c>
      <c r="I2" s="32" t="s">
        <v>8</v>
      </c>
      <c r="J2" s="32" t="s">
        <v>28</v>
      </c>
      <c r="K2" s="32" t="s">
        <v>10</v>
      </c>
      <c r="L2" s="32" t="s">
        <v>11</v>
      </c>
      <c r="M2" s="32" t="s">
        <v>12</v>
      </c>
      <c r="N2" s="1"/>
      <c r="O2" s="1"/>
      <c r="P2" s="1"/>
      <c r="Q2" s="1"/>
      <c r="R2" s="1"/>
      <c r="S2" s="1"/>
      <c r="T2" s="1"/>
      <c r="U2" s="1"/>
      <c r="V2" s="1"/>
      <c r="W2" s="1"/>
      <c r="X2" s="1"/>
      <c r="Y2" s="1"/>
      <c r="Z2" s="1"/>
    </row>
    <row r="3" spans="1:26" ht="205" thickBot="1" x14ac:dyDescent="0.2">
      <c r="A3" s="33">
        <v>1</v>
      </c>
      <c r="B3" s="34" t="s">
        <v>13</v>
      </c>
      <c r="C3" s="35" t="s">
        <v>14</v>
      </c>
      <c r="D3" s="35" t="s">
        <v>15</v>
      </c>
      <c r="E3" s="35" t="s">
        <v>16</v>
      </c>
      <c r="F3" s="35" t="s">
        <v>17</v>
      </c>
      <c r="G3" s="34">
        <v>4</v>
      </c>
      <c r="H3" s="34">
        <v>5</v>
      </c>
      <c r="I3" s="36">
        <v>20</v>
      </c>
      <c r="J3" s="36" t="s">
        <v>22</v>
      </c>
      <c r="K3" s="35" t="s">
        <v>26</v>
      </c>
      <c r="L3" s="35" t="s">
        <v>27</v>
      </c>
      <c r="M3" s="34" t="s">
        <v>25</v>
      </c>
      <c r="N3" s="1"/>
      <c r="O3" s="1"/>
      <c r="P3" s="1"/>
      <c r="Q3" s="1"/>
      <c r="R3" s="1"/>
      <c r="S3" s="1"/>
      <c r="T3" s="1"/>
      <c r="U3" s="1"/>
      <c r="V3" s="1"/>
      <c r="W3" s="1"/>
      <c r="X3" s="1"/>
      <c r="Y3" s="1"/>
      <c r="Z3" s="1"/>
    </row>
    <row r="4" spans="1:26" ht="205" thickBot="1" x14ac:dyDescent="0.2">
      <c r="A4" s="37">
        <v>2</v>
      </c>
      <c r="B4" s="38" t="s">
        <v>13</v>
      </c>
      <c r="C4" s="39" t="s">
        <v>18</v>
      </c>
      <c r="D4" s="39" t="s">
        <v>19</v>
      </c>
      <c r="E4" s="39" t="s">
        <v>20</v>
      </c>
      <c r="F4" s="39" t="s">
        <v>21</v>
      </c>
      <c r="G4" s="38">
        <v>4</v>
      </c>
      <c r="H4" s="38">
        <v>4</v>
      </c>
      <c r="I4" s="40">
        <v>16</v>
      </c>
      <c r="J4" s="40" t="s">
        <v>22</v>
      </c>
      <c r="K4" s="39" t="s">
        <v>23</v>
      </c>
      <c r="L4" s="39" t="s">
        <v>24</v>
      </c>
      <c r="M4" s="38" t="s">
        <v>25</v>
      </c>
      <c r="N4" s="1"/>
      <c r="O4" s="1"/>
      <c r="P4" s="1"/>
      <c r="Q4" s="1"/>
      <c r="R4" s="1"/>
      <c r="S4" s="1"/>
      <c r="T4" s="1"/>
      <c r="U4" s="1"/>
      <c r="V4" s="1"/>
      <c r="W4" s="1"/>
      <c r="X4" s="1"/>
      <c r="Y4" s="1"/>
      <c r="Z4" s="1"/>
    </row>
    <row r="5" spans="1:26" ht="256" thickBot="1" x14ac:dyDescent="0.2">
      <c r="A5" s="41">
        <v>3</v>
      </c>
      <c r="B5" s="42" t="s">
        <v>13</v>
      </c>
      <c r="C5" s="43" t="s">
        <v>29</v>
      </c>
      <c r="D5" s="43" t="s">
        <v>30</v>
      </c>
      <c r="E5" s="43" t="s">
        <v>31</v>
      </c>
      <c r="F5" s="43" t="s">
        <v>32</v>
      </c>
      <c r="G5" s="42">
        <v>3</v>
      </c>
      <c r="H5" s="42">
        <v>4</v>
      </c>
      <c r="I5" s="44">
        <v>12</v>
      </c>
      <c r="J5" s="44" t="s">
        <v>33</v>
      </c>
      <c r="K5" s="43" t="s">
        <v>34</v>
      </c>
      <c r="L5" s="43" t="s">
        <v>35</v>
      </c>
      <c r="M5" s="42" t="s">
        <v>25</v>
      </c>
      <c r="N5" s="1"/>
      <c r="O5" s="1"/>
      <c r="P5" s="1"/>
      <c r="Q5" s="1"/>
      <c r="R5" s="1"/>
      <c r="S5" s="1"/>
      <c r="T5" s="1"/>
      <c r="U5" s="1"/>
      <c r="V5" s="1"/>
      <c r="W5" s="1"/>
      <c r="X5" s="1"/>
      <c r="Y5" s="1"/>
      <c r="Z5" s="1"/>
    </row>
    <row r="6" spans="1:26" x14ac:dyDescent="0.15">
      <c r="A6" s="2"/>
      <c r="B6" s="2"/>
      <c r="C6" s="2"/>
      <c r="D6" s="2"/>
      <c r="E6" s="2"/>
      <c r="F6" s="2"/>
      <c r="G6" s="2"/>
      <c r="H6" s="2"/>
      <c r="I6" s="2"/>
      <c r="J6" s="2"/>
      <c r="K6" s="2"/>
      <c r="L6" s="2"/>
      <c r="M6" s="2"/>
      <c r="N6" s="1"/>
      <c r="O6" s="1"/>
      <c r="P6" s="1"/>
      <c r="Q6" s="1"/>
      <c r="R6" s="1"/>
      <c r="S6" s="1"/>
      <c r="T6" s="1"/>
      <c r="U6" s="1"/>
      <c r="V6" s="1"/>
      <c r="W6" s="1"/>
      <c r="X6" s="1"/>
      <c r="Y6" s="1"/>
      <c r="Z6" s="1"/>
    </row>
    <row r="7" spans="1:26" ht="16" thickBot="1" x14ac:dyDescent="0.2">
      <c r="A7" s="2"/>
      <c r="B7" s="2"/>
      <c r="C7" s="2"/>
      <c r="D7" s="2"/>
      <c r="E7" s="2"/>
      <c r="F7" s="2"/>
      <c r="G7" s="2"/>
      <c r="H7" s="2"/>
      <c r="I7" s="2"/>
      <c r="J7" s="2"/>
      <c r="K7" s="2"/>
      <c r="L7" s="2"/>
      <c r="M7" s="2"/>
      <c r="N7" s="1"/>
      <c r="O7" s="1"/>
      <c r="P7" s="1"/>
      <c r="Q7" s="1"/>
      <c r="R7" s="1"/>
      <c r="S7" s="1"/>
      <c r="T7" s="1"/>
      <c r="U7" s="1"/>
      <c r="V7" s="1"/>
      <c r="W7" s="1"/>
      <c r="X7" s="1"/>
      <c r="Y7" s="1"/>
      <c r="Z7" s="1"/>
    </row>
    <row r="8" spans="1:26" ht="52" thickBot="1" x14ac:dyDescent="0.25">
      <c r="A8" s="1"/>
      <c r="B8" s="1"/>
      <c r="C8" s="3" t="s">
        <v>36</v>
      </c>
      <c r="D8" s="4"/>
      <c r="E8" s="1"/>
      <c r="F8" s="1"/>
      <c r="G8" s="1"/>
      <c r="H8" s="1"/>
      <c r="I8" s="1"/>
      <c r="J8" s="1"/>
      <c r="K8" s="1"/>
      <c r="L8" s="1"/>
      <c r="M8" s="1"/>
      <c r="N8" s="1"/>
      <c r="O8" s="1"/>
      <c r="P8" s="1"/>
      <c r="Q8" s="1"/>
      <c r="R8" s="1"/>
      <c r="S8" s="1"/>
      <c r="T8" s="1"/>
      <c r="U8" s="1"/>
      <c r="V8" s="1"/>
      <c r="W8" s="1"/>
      <c r="X8" s="1"/>
      <c r="Y8" s="1"/>
      <c r="Z8" s="1"/>
    </row>
    <row r="10" spans="1:26" ht="22.25" customHeight="1" x14ac:dyDescent="0.2">
      <c r="B10" s="1"/>
      <c r="C10" s="5" t="s">
        <v>37</v>
      </c>
      <c r="D10" s="4" t="s">
        <v>40</v>
      </c>
      <c r="E10" s="1"/>
      <c r="F10" s="1"/>
      <c r="G10" s="1"/>
      <c r="H10" s="1"/>
      <c r="I10" s="1"/>
      <c r="J10" s="1"/>
      <c r="K10" s="1"/>
      <c r="L10" s="1"/>
      <c r="M10" s="1"/>
      <c r="N10" s="1"/>
      <c r="O10" s="1"/>
      <c r="P10" s="1"/>
      <c r="Q10" s="1"/>
      <c r="R10" s="1"/>
      <c r="S10" s="1"/>
      <c r="T10" s="1"/>
      <c r="U10" s="1"/>
      <c r="V10" s="1"/>
      <c r="W10" s="1"/>
      <c r="X10" s="1"/>
      <c r="Y10" s="1"/>
      <c r="Z10" s="1"/>
    </row>
    <row r="11" spans="1:26" ht="16" x14ac:dyDescent="0.2">
      <c r="A11" s="1"/>
      <c r="B11" s="1"/>
      <c r="C11" s="4" t="s">
        <v>38</v>
      </c>
      <c r="D11" s="4" t="s">
        <v>41</v>
      </c>
      <c r="E11" s="1"/>
      <c r="F11" s="1"/>
      <c r="G11" s="1"/>
      <c r="H11" s="1"/>
      <c r="I11" s="1"/>
      <c r="J11" s="1"/>
      <c r="K11" s="1"/>
      <c r="L11" s="1"/>
      <c r="M11" s="1"/>
      <c r="N11" s="1"/>
      <c r="O11" s="1"/>
      <c r="P11" s="1"/>
      <c r="Q11" s="1"/>
      <c r="R11" s="1"/>
      <c r="S11" s="1"/>
      <c r="T11" s="1"/>
      <c r="U11" s="1"/>
      <c r="V11" s="1"/>
      <c r="W11" s="1"/>
      <c r="X11" s="1"/>
      <c r="Y11" s="1"/>
      <c r="Z11" s="1"/>
    </row>
    <row r="12" spans="1:26" ht="18" x14ac:dyDescent="0.2">
      <c r="A12" s="1"/>
      <c r="B12" s="1"/>
      <c r="C12" s="4" t="s">
        <v>39</v>
      </c>
      <c r="D12" s="6" t="s">
        <v>42</v>
      </c>
      <c r="E12" s="1"/>
      <c r="F12" s="1"/>
      <c r="G12" s="1"/>
      <c r="H12" s="1"/>
      <c r="I12" s="1"/>
      <c r="J12" s="1"/>
      <c r="K12" s="1"/>
      <c r="L12" s="1"/>
      <c r="M12" s="1"/>
      <c r="N12" s="1"/>
      <c r="O12" s="1"/>
      <c r="P12" s="1"/>
      <c r="Q12" s="1"/>
      <c r="R12" s="1"/>
      <c r="S12" s="1"/>
      <c r="T12" s="1"/>
      <c r="U12" s="1"/>
      <c r="V12" s="1"/>
      <c r="W12" s="1"/>
      <c r="X12" s="1"/>
      <c r="Y12" s="1"/>
      <c r="Z12" s="1"/>
    </row>
    <row r="13" spans="1:26" x14ac:dyDescent="0.1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1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1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1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1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1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1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1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1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1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1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1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1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1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1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1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1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1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1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1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1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1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1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1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1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1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1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1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1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1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1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1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1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1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1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1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1000"/>
  <sheetViews>
    <sheetView topLeftCell="D8" workbookViewId="0">
      <selection activeCell="F2" sqref="F2"/>
    </sheetView>
  </sheetViews>
  <sheetFormatPr baseColWidth="10" defaultColWidth="12.6640625" defaultRowHeight="15" customHeight="1" x14ac:dyDescent="0.15"/>
  <cols>
    <col min="1" max="1" width="4.33203125" hidden="1" customWidth="1"/>
    <col min="2" max="2" width="7.6640625" hidden="1" customWidth="1"/>
    <col min="3" max="3" width="0.1640625" hidden="1" customWidth="1"/>
    <col min="4" max="4" width="25.1640625" customWidth="1"/>
    <col min="5" max="5" width="46.5" customWidth="1"/>
    <col min="6" max="6" width="35.5" customWidth="1"/>
    <col min="7" max="7" width="25.33203125" customWidth="1"/>
    <col min="8" max="8" width="38.1640625" customWidth="1"/>
    <col min="9" max="9" width="56.83203125" customWidth="1"/>
    <col min="10" max="26" width="7.6640625" customWidth="1"/>
  </cols>
  <sheetData>
    <row r="2" spans="3:10" ht="31" x14ac:dyDescent="0.15">
      <c r="F2" s="13" t="s">
        <v>66</v>
      </c>
    </row>
    <row r="5" spans="3:10" ht="21" x14ac:dyDescent="0.2">
      <c r="C5" s="9"/>
      <c r="D5" s="12" t="s">
        <v>43</v>
      </c>
      <c r="E5" s="12" t="s">
        <v>44</v>
      </c>
      <c r="F5" s="12" t="s">
        <v>85</v>
      </c>
      <c r="G5" s="26" t="s">
        <v>45</v>
      </c>
      <c r="H5" s="25" t="s">
        <v>46</v>
      </c>
      <c r="I5" s="27" t="s">
        <v>47</v>
      </c>
      <c r="J5" s="9"/>
    </row>
    <row r="6" spans="3:10" ht="18" x14ac:dyDescent="0.2">
      <c r="C6" s="9"/>
      <c r="D6" s="11"/>
      <c r="E6" s="11"/>
      <c r="F6" s="11"/>
      <c r="G6" s="11"/>
      <c r="H6" s="11"/>
      <c r="I6" s="11"/>
      <c r="J6" s="9"/>
    </row>
    <row r="7" spans="3:10" ht="171" x14ac:dyDescent="0.15">
      <c r="C7" s="9"/>
      <c r="D7" s="8" t="s">
        <v>51</v>
      </c>
      <c r="E7" s="8" t="s">
        <v>50</v>
      </c>
      <c r="F7" s="8" t="s">
        <v>56</v>
      </c>
      <c r="G7" s="8" t="s">
        <v>59</v>
      </c>
      <c r="H7" s="8" t="s">
        <v>62</v>
      </c>
      <c r="I7" s="8" t="s">
        <v>65</v>
      </c>
      <c r="J7" s="9"/>
    </row>
    <row r="8" spans="3:10" ht="18" x14ac:dyDescent="0.15">
      <c r="C8" s="9"/>
      <c r="D8" s="8"/>
      <c r="E8" s="8"/>
      <c r="F8" s="8"/>
      <c r="G8" s="8"/>
      <c r="H8" s="8"/>
      <c r="I8" s="8"/>
      <c r="J8" s="9"/>
    </row>
    <row r="9" spans="3:10" ht="190" x14ac:dyDescent="0.15">
      <c r="C9" s="9"/>
      <c r="D9" s="8" t="s">
        <v>52</v>
      </c>
      <c r="E9" s="8" t="s">
        <v>54</v>
      </c>
      <c r="F9" s="8" t="s">
        <v>57</v>
      </c>
      <c r="G9" s="8" t="s">
        <v>60</v>
      </c>
      <c r="H9" s="8" t="s">
        <v>63</v>
      </c>
      <c r="I9" s="8" t="s">
        <v>64</v>
      </c>
      <c r="J9" s="9"/>
    </row>
    <row r="10" spans="3:10" ht="18" x14ac:dyDescent="0.2">
      <c r="C10" s="9"/>
      <c r="D10" s="11"/>
      <c r="E10" s="8"/>
      <c r="F10" s="8"/>
      <c r="G10" s="8"/>
      <c r="H10" s="8"/>
      <c r="I10" s="8"/>
      <c r="J10" s="9"/>
    </row>
    <row r="11" spans="3:10" ht="190" x14ac:dyDescent="0.15">
      <c r="C11" s="9"/>
      <c r="D11" s="8" t="s">
        <v>53</v>
      </c>
      <c r="E11" s="8" t="s">
        <v>55</v>
      </c>
      <c r="F11" s="8" t="s">
        <v>58</v>
      </c>
      <c r="G11" s="8" t="s">
        <v>61</v>
      </c>
      <c r="H11" s="8" t="s">
        <v>49</v>
      </c>
      <c r="I11" s="8" t="s">
        <v>48</v>
      </c>
      <c r="J11" s="9"/>
    </row>
    <row r="12" spans="3:10" ht="14" x14ac:dyDescent="0.15">
      <c r="C12" s="9"/>
      <c r="D12" s="7"/>
      <c r="E12" s="7"/>
      <c r="F12" s="7"/>
      <c r="G12" s="7"/>
      <c r="H12" s="7"/>
      <c r="I12" s="7"/>
      <c r="J12" s="9"/>
    </row>
    <row r="13" spans="3:10" ht="14" x14ac:dyDescent="0.15">
      <c r="C13" s="9"/>
      <c r="D13" s="9"/>
      <c r="E13" s="9"/>
      <c r="F13" s="9"/>
      <c r="G13" s="9"/>
      <c r="H13" s="9"/>
      <c r="I13" s="9"/>
      <c r="J13" s="9"/>
    </row>
    <row r="14" spans="3:10" ht="14" x14ac:dyDescent="0.15">
      <c r="C14" s="9"/>
      <c r="D14" s="9"/>
      <c r="E14" s="9"/>
      <c r="F14" s="9"/>
      <c r="G14" s="9"/>
      <c r="H14" s="9"/>
      <c r="I14" s="9"/>
      <c r="J14" s="9"/>
    </row>
    <row r="17" spans="4:8" ht="18" x14ac:dyDescent="0.15">
      <c r="D17" s="15"/>
      <c r="E17" s="14"/>
      <c r="F17" s="14"/>
      <c r="G17" s="14"/>
      <c r="H17" s="14"/>
    </row>
    <row r="18" spans="4:8" ht="14" customHeight="1" x14ac:dyDescent="0.15">
      <c r="D18" s="14"/>
      <c r="E18" s="14"/>
      <c r="F18" s="14"/>
      <c r="G18" s="14"/>
      <c r="H18" s="14"/>
    </row>
    <row r="19" spans="4:8" ht="14" customHeight="1" x14ac:dyDescent="0.15">
      <c r="D19" s="14"/>
      <c r="E19" s="14"/>
      <c r="F19" s="14"/>
      <c r="G19" s="14"/>
      <c r="H19" s="14"/>
    </row>
    <row r="20" spans="4:8" ht="14" customHeight="1" x14ac:dyDescent="0.15">
      <c r="D20" s="14"/>
      <c r="E20" s="14"/>
      <c r="F20" s="14"/>
      <c r="G20" s="14"/>
      <c r="H20" s="14"/>
    </row>
    <row r="21" spans="4:8" ht="15.75" customHeight="1" x14ac:dyDescent="0.15"/>
    <row r="22" spans="4:8" ht="15.75" customHeight="1" x14ac:dyDescent="0.15"/>
    <row r="23" spans="4:8" ht="15.75" customHeight="1" x14ac:dyDescent="0.15"/>
    <row r="24" spans="4:8" ht="15.75" customHeight="1" x14ac:dyDescent="0.15"/>
    <row r="25" spans="4:8" ht="15.75" customHeight="1" x14ac:dyDescent="0.15"/>
    <row r="26" spans="4:8" ht="15.75" customHeight="1" x14ac:dyDescent="0.15"/>
    <row r="27" spans="4:8" ht="15.75" customHeight="1" x14ac:dyDescent="0.15">
      <c r="F27" s="10">
        <v>3</v>
      </c>
    </row>
    <row r="28" spans="4:8" ht="15.75" customHeight="1" x14ac:dyDescent="0.15"/>
    <row r="29" spans="4:8" ht="15.75" customHeight="1" x14ac:dyDescent="0.15"/>
    <row r="30" spans="4:8" ht="15.75" customHeight="1" x14ac:dyDescent="0.15"/>
    <row r="31" spans="4:8" ht="15.75" customHeight="1" x14ac:dyDescent="0.15"/>
    <row r="32" spans="4:8"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9B884-C5D1-7F45-A1D1-6AE4E57D3CCF}">
  <dimension ref="A1:G11"/>
  <sheetViews>
    <sheetView workbookViewId="0">
      <selection sqref="A1:G1"/>
    </sheetView>
  </sheetViews>
  <sheetFormatPr baseColWidth="10" defaultRowHeight="14" x14ac:dyDescent="0.15"/>
  <sheetData>
    <row r="1" spans="1:7" x14ac:dyDescent="0.15">
      <c r="A1" s="16" t="s">
        <v>67</v>
      </c>
      <c r="B1" s="17"/>
      <c r="C1" s="17"/>
      <c r="D1" s="17"/>
      <c r="E1" s="17"/>
      <c r="F1" s="17"/>
      <c r="G1" s="17"/>
    </row>
    <row r="2" spans="1:7" ht="28" x14ac:dyDescent="0.15">
      <c r="A2" s="28" t="s">
        <v>0</v>
      </c>
      <c r="B2" s="28" t="s">
        <v>68</v>
      </c>
      <c r="C2" s="28" t="s">
        <v>69</v>
      </c>
      <c r="D2" s="28" t="s">
        <v>70</v>
      </c>
      <c r="E2" s="28" t="s">
        <v>71</v>
      </c>
      <c r="F2" s="28" t="s">
        <v>72</v>
      </c>
      <c r="G2" s="28" t="s">
        <v>73</v>
      </c>
    </row>
    <row r="3" spans="1:7" ht="28" x14ac:dyDescent="0.15">
      <c r="A3" s="18">
        <v>1</v>
      </c>
      <c r="B3" s="18" t="s">
        <v>74</v>
      </c>
      <c r="C3" s="18" t="s">
        <v>75</v>
      </c>
      <c r="D3" s="18">
        <v>4</v>
      </c>
      <c r="E3" s="18">
        <v>5</v>
      </c>
      <c r="F3" s="18">
        <f>D3*E3</f>
        <v>20</v>
      </c>
      <c r="G3" s="19" t="s">
        <v>76</v>
      </c>
    </row>
    <row r="4" spans="1:7" ht="42" x14ac:dyDescent="0.15">
      <c r="A4" s="18">
        <v>2</v>
      </c>
      <c r="B4" s="18" t="s">
        <v>77</v>
      </c>
      <c r="C4" s="18" t="s">
        <v>75</v>
      </c>
      <c r="D4" s="18">
        <v>4</v>
      </c>
      <c r="E4" s="18">
        <v>4</v>
      </c>
      <c r="F4" s="18">
        <f>D4*E4</f>
        <v>16</v>
      </c>
      <c r="G4" s="19" t="s">
        <v>76</v>
      </c>
    </row>
    <row r="5" spans="1:7" ht="28" x14ac:dyDescent="0.15">
      <c r="A5" s="18">
        <v>3</v>
      </c>
      <c r="B5" s="18" t="s">
        <v>78</v>
      </c>
      <c r="C5" s="18" t="s">
        <v>79</v>
      </c>
      <c r="D5" s="18">
        <v>3</v>
      </c>
      <c r="E5" s="18">
        <v>4</v>
      </c>
      <c r="F5" s="18">
        <f>D5*E5</f>
        <v>12</v>
      </c>
      <c r="G5" s="20" t="s">
        <v>80</v>
      </c>
    </row>
    <row r="8" spans="1:7" x14ac:dyDescent="0.15">
      <c r="A8" s="21" t="s">
        <v>81</v>
      </c>
    </row>
    <row r="9" spans="1:7" x14ac:dyDescent="0.15">
      <c r="A9" s="22" t="s">
        <v>82</v>
      </c>
    </row>
    <row r="10" spans="1:7" x14ac:dyDescent="0.15">
      <c r="A10" s="23" t="s">
        <v>83</v>
      </c>
    </row>
    <row r="11" spans="1:7" x14ac:dyDescent="0.15">
      <c r="A11" s="24" t="s">
        <v>84</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2413D-12F4-234D-972C-92482FAB987E}">
  <dimension ref="A1:G5"/>
  <sheetViews>
    <sheetView tabSelected="1" topLeftCell="C1" workbookViewId="0">
      <selection activeCell="D27" sqref="D27"/>
    </sheetView>
  </sheetViews>
  <sheetFormatPr baseColWidth="10" defaultRowHeight="14" x14ac:dyDescent="0.15"/>
  <cols>
    <col min="2" max="2" width="28.33203125" customWidth="1"/>
    <col min="3" max="3" width="28.1640625" customWidth="1"/>
    <col min="4" max="4" width="60.5" customWidth="1"/>
    <col min="5" max="5" width="64.33203125" customWidth="1"/>
    <col min="6" max="6" width="15" customWidth="1"/>
    <col min="7" max="7" width="32.1640625" customWidth="1"/>
  </cols>
  <sheetData>
    <row r="1" spans="1:7" ht="16" x14ac:dyDescent="0.2">
      <c r="A1" s="57" t="s">
        <v>86</v>
      </c>
      <c r="B1" s="58"/>
      <c r="C1" s="58"/>
      <c r="D1" s="58"/>
      <c r="E1" s="58"/>
      <c r="F1" s="58"/>
      <c r="G1" s="58"/>
    </row>
    <row r="2" spans="1:7" ht="34" x14ac:dyDescent="0.15">
      <c r="A2" s="45" t="s">
        <v>0</v>
      </c>
      <c r="B2" s="45" t="s">
        <v>87</v>
      </c>
      <c r="C2" s="46" t="s">
        <v>96</v>
      </c>
      <c r="D2" s="46" t="s">
        <v>106</v>
      </c>
      <c r="E2" s="47" t="s">
        <v>88</v>
      </c>
      <c r="F2" s="48" t="s">
        <v>97</v>
      </c>
      <c r="G2" s="55"/>
    </row>
    <row r="3" spans="1:7" ht="85" x14ac:dyDescent="0.15">
      <c r="A3" s="49" t="s">
        <v>89</v>
      </c>
      <c r="B3" s="50" t="s">
        <v>98</v>
      </c>
      <c r="C3" s="51" t="s">
        <v>99</v>
      </c>
      <c r="D3" s="51" t="s">
        <v>90</v>
      </c>
      <c r="E3" s="52" t="s">
        <v>100</v>
      </c>
      <c r="F3" s="53" t="s">
        <v>91</v>
      </c>
      <c r="G3" s="56"/>
    </row>
    <row r="4" spans="1:7" ht="85" x14ac:dyDescent="0.15">
      <c r="A4" s="49" t="s">
        <v>92</v>
      </c>
      <c r="B4" s="50" t="s">
        <v>101</v>
      </c>
      <c r="C4" s="51" t="s">
        <v>102</v>
      </c>
      <c r="D4" s="51" t="s">
        <v>93</v>
      </c>
      <c r="E4" s="52" t="s">
        <v>103</v>
      </c>
      <c r="F4" s="53" t="s">
        <v>91</v>
      </c>
      <c r="G4" s="56"/>
    </row>
    <row r="5" spans="1:7" ht="102" x14ac:dyDescent="0.15">
      <c r="A5" s="49" t="s">
        <v>94</v>
      </c>
      <c r="B5" s="54" t="s">
        <v>104</v>
      </c>
      <c r="C5" s="51" t="s">
        <v>105</v>
      </c>
      <c r="D5" s="51" t="s">
        <v>95</v>
      </c>
      <c r="E5" s="52" t="s">
        <v>107</v>
      </c>
      <c r="F5" s="53" t="s">
        <v>91</v>
      </c>
      <c r="G5" s="56"/>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Risk register</vt:lpstr>
      <vt:lpstr>KRI SUMMARY</vt:lpstr>
      <vt:lpstr>Risk calculator</vt:lpstr>
      <vt:lpstr>Leading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TALATA NSOBILLA</dc:creator>
  <cp:lastModifiedBy>Aryan Bansal</cp:lastModifiedBy>
  <dcterms:created xsi:type="dcterms:W3CDTF">2026-03-02T06:41:34Z</dcterms:created>
  <dcterms:modified xsi:type="dcterms:W3CDTF">2026-03-03T21:00:12Z</dcterms:modified>
</cp:coreProperties>
</file>