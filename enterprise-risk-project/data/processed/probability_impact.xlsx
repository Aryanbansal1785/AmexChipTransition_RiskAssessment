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wrence_dbs/Downloads/"/>
    </mc:Choice>
  </mc:AlternateContent>
  <xr:revisionPtr revIDLastSave="0" documentId="8_{B70C69F3-5021-164D-8A06-F3E8E35217E1}" xr6:coauthVersionLast="47" xr6:coauthVersionMax="47" xr10:uidLastSave="{00000000-0000-0000-0000-000000000000}"/>
  <bookViews>
    <workbookView xWindow="960" yWindow="3640" windowWidth="29280" windowHeight="13940" xr2:uid="{16E634F1-34A6-4300-833B-80BA81057E8E}"/>
  </bookViews>
  <sheets>
    <sheet name="Risk Calculation Sheet" sheetId="1" r:id="rId1"/>
    <sheet name="Risk Heat Map" sheetId="2" r:id="rId2"/>
    <sheet name="Risk Regis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J31" i="1"/>
  <c r="J32" i="1"/>
  <c r="J33" i="1"/>
  <c r="J28" i="1"/>
  <c r="J29" i="1"/>
  <c r="I33" i="1"/>
  <c r="I32" i="1"/>
  <c r="I31" i="1"/>
  <c r="I30" i="1"/>
  <c r="I29" i="1"/>
  <c r="I28" i="1"/>
</calcChain>
</file>

<file path=xl/sharedStrings.xml><?xml version="1.0" encoding="utf-8"?>
<sst xmlns="http://schemas.openxmlformats.org/spreadsheetml/2006/main" count="201" uniqueCount="128">
  <si>
    <t>AMERICAN EXPRESS — EMV CHIP TRANSITION RISK ASSESSMENT</t>
  </si>
  <si>
    <t>LIKELIHOOD (Probability of Occurrence)</t>
  </si>
  <si>
    <t>IMPACT OF RISK (Inherent Risk — before controls)</t>
  </si>
  <si>
    <t>Label</t>
  </si>
  <si>
    <t>Score</t>
  </si>
  <si>
    <t>Very Unlikely</t>
  </si>
  <si>
    <t>Very Low</t>
  </si>
  <si>
    <t>Somewhat Unlikely</t>
  </si>
  <si>
    <t>Somewhat Low</t>
  </si>
  <si>
    <t>50-50 Possibility</t>
  </si>
  <si>
    <t>Moderate</t>
  </si>
  <si>
    <t>Somewhat Likely</t>
  </si>
  <si>
    <t>Somewhat High</t>
  </si>
  <si>
    <t>Very Likely</t>
  </si>
  <si>
    <t>High</t>
  </si>
  <si>
    <t/>
  </si>
  <si>
    <t>Extremely High</t>
  </si>
  <si>
    <t>THRESHOLD DEFINITIONS (Maximum Possible Score = 81)</t>
  </si>
  <si>
    <t>HIGH</t>
  </si>
  <si>
    <t>Score 54 – 81</t>
  </si>
  <si>
    <t>MEDIUM</t>
  </si>
  <si>
    <t>Score 27 – 53</t>
  </si>
  <si>
    <t>LOW</t>
  </si>
  <si>
    <t>Score 1 – 26</t>
  </si>
  <si>
    <t>FOUR RISK TYPES — IMPACT SCORES</t>
  </si>
  <si>
    <t>Impact Level</t>
  </si>
  <si>
    <t>Financial</t>
  </si>
  <si>
    <t>Operational</t>
  </si>
  <si>
    <t>Competitive</t>
  </si>
  <si>
    <t>Reputational</t>
  </si>
  <si>
    <t>✔ Selected (Score=6)</t>
  </si>
  <si>
    <t>✔ Selected (Score=8)</t>
  </si>
  <si>
    <t>RISK SCORE SUMMARY</t>
  </si>
  <si>
    <t>Risk #</t>
  </si>
  <si>
    <t>Likelihood Label</t>
  </si>
  <si>
    <t>Likelihood Score</t>
  </si>
  <si>
    <t>Impact Label</t>
  </si>
  <si>
    <t>Impact Score</t>
  </si>
  <si>
    <t>Risk Score (L × I)</t>
  </si>
  <si>
    <t>Priority</t>
  </si>
  <si>
    <t>R-001</t>
  </si>
  <si>
    <t>R-002</t>
  </si>
  <si>
    <t>R-003</t>
  </si>
  <si>
    <t>R-004</t>
  </si>
  <si>
    <t>AMERICAN EXPRESS EMV TRANSITION — RISK HEAT MAP</t>
  </si>
  <si>
    <t>■ HIGH (54–81)</t>
  </si>
  <si>
    <t>■ MEDIUM (27–53)</t>
  </si>
  <si>
    <t>■ LOW (1–26)</t>
  </si>
  <si>
    <t>IMPACT  ↓  /  LIKELIHOOD  →</t>
  </si>
  <si>
    <t>Very Unlikely
(1)</t>
  </si>
  <si>
    <t>Somewhat Unlikely
(3)</t>
  </si>
  <si>
    <t>50-50 Possibility
(5)</t>
  </si>
  <si>
    <t>Somewhat Likely
(7)</t>
  </si>
  <si>
    <t>Very Likely
(9)</t>
  </si>
  <si>
    <t>Extremely High
(9)</t>
  </si>
  <si>
    <t>High
(8)</t>
  </si>
  <si>
    <t>40
R-004 Reputational
(Score: 40)</t>
  </si>
  <si>
    <t>56
R-001 Financial
(Score: 56)</t>
  </si>
  <si>
    <t>72
R-003 Competitive
(Score: 72)</t>
  </si>
  <si>
    <t>Somewhat High
(6)</t>
  </si>
  <si>
    <t>Moderate
(4)</t>
  </si>
  <si>
    <t>Somewhat Low
(2)</t>
  </si>
  <si>
    <t>Very Low
(1)</t>
  </si>
  <si>
    <t>→  X-axis = Likelihood  |  Y-axis = Impact  |  Each cell = Likelihood × Impact  |  Risks plotted at their exact score coordinates.</t>
  </si>
  <si>
    <t>AMERICAN EXPRESS EMV TRANSITION — RISK REGISTER</t>
  </si>
  <si>
    <t>Date</t>
  </si>
  <si>
    <t>The Risk of/That</t>
  </si>
  <si>
    <t>Caused by</t>
  </si>
  <si>
    <t>Resulting In</t>
  </si>
  <si>
    <t>Consequence / Impact</t>
  </si>
  <si>
    <t>Likelihood
Score</t>
  </si>
  <si>
    <t>Impact
Score</t>
  </si>
  <si>
    <t>Risk
Score</t>
  </si>
  <si>
    <t>Priority
(H,M,L)</t>
  </si>
  <si>
    <t>Mitigation</t>
  </si>
  <si>
    <t>Risk Owner</t>
  </si>
  <si>
    <t>Open/Closed</t>
  </si>
  <si>
    <t>Mar 2026</t>
  </si>
  <si>
    <t>Card-not-present (CNP) fraud losses increase significantly as EMV reduces card-present fraud</t>
  </si>
  <si>
    <t>EMV chip eliminating card-present counterfeit fraud, redirecting fraudsters to online and phone-based channels</t>
  </si>
  <si>
    <t>Increased financial losses on online transactions not protected by chip technology</t>
  </si>
  <si>
    <t>Significant CNP fraud chargebacks affecting net revenue and fraud-related operational costs</t>
  </si>
  <si>
    <t>H</t>
  </si>
  <si>
    <t>Deploy tokenization, 3D Secure authentication, CVV verification; enhance real-time CNP fraud monitoring</t>
  </si>
  <si>
    <t>Chief Risk Officer</t>
  </si>
  <si>
    <t>Open</t>
  </si>
  <si>
    <t>Merchant EMV terminal certification is delayed due to Amex's closed-loop certification requirements</t>
  </si>
  <si>
    <t>Amex's proprietary end-to-end terminal certification being more complex than Visa/Mastercard open-loop systems</t>
  </si>
  <si>
    <t>Merchants exposed to fraud liability during certification gaps; reduced Amex in-person acceptance during transition</t>
  </si>
  <si>
    <t>Operational disruption and slowed EMV adoption, creating merchant network coverage gaps</t>
  </si>
  <si>
    <t>M</t>
  </si>
  <si>
    <t>Streamline certification process; deploy dedicated merchant support teams to accelerate terminal approvals</t>
  </si>
  <si>
    <t>Chief Operating Officer</t>
  </si>
  <si>
    <t>Amex loses merchant acceptance share to Visa and Mastercard during the EMV rollout</t>
  </si>
  <si>
    <t>Visa and Mastercard's open-loop networks enabling faster, broader terminal upgrades at scale</t>
  </si>
  <si>
    <t>Cardholders experiencing Amex declines at non-certified merchants, reducing usage and satisfaction</t>
  </si>
  <si>
    <t>Competitive disadvantage resulting in lost transactions and potential cardholder attrition</t>
  </si>
  <si>
    <t>Leverage Expresspay contactless and Amex Quick Chip to improve acceptance speed; partner with acquirers for faster rollout</t>
  </si>
  <si>
    <t>Chief Commercial Officer</t>
  </si>
  <si>
    <t>Brand damage occurs if fraud incidents during the EMV transition window are publicly reported</t>
  </si>
  <si>
    <t>Fraud occurring prior to full merchant EMV adoption, damaging trust in Amex's premium brand promise</t>
  </si>
  <si>
    <t>Erosion of premium brand positioning among high-spending Platinum and Centurion cardholders</t>
  </si>
  <si>
    <t>Long-term reputational harm, reduced card acquisition, and loss of loyalty from premium cardholders</t>
  </si>
  <si>
    <t>Proactively communicate chip security enhancements; maintain transparent and rapid incident response protocols</t>
  </si>
  <si>
    <t>Chief Marketing Officer</t>
  </si>
  <si>
    <t>R- 005</t>
  </si>
  <si>
    <t>Amex faces antitrust litigation and legal liability arising from the coordinated EMV liability shift</t>
  </si>
  <si>
    <t>Merchants alleging that American Express, Visa, Mastercard and Discover conspired to simultaneously shift chargeback liability onto merchants in an anticompetitive manner during the October 2015 EMV rollout</t>
  </si>
  <si>
    <t>Class action lawsuit (B&amp;R Supermarket v. Visa et al.) resulting in Amex paying a $20 million settlement and ongoing legal costs</t>
  </si>
  <si>
    <t>Legal: Settlement costs, litigation fees, and regulatory scrutiny. Reputational: Damaged merchant relationships and public perception of Amex as an anticompetitive actor. Financial: Direct settlement payout of $20M plus legal expenses</t>
  </si>
  <si>
    <t xml:space="preserve"> M</t>
  </si>
  <si>
    <t>Engage proactively with merchant associations; revise chargeback policies for small transactions; maintain legal reserves for EMV-related litigation; ensure transparent communication of liability shift rules</t>
  </si>
  <si>
    <t>Chief Legal Officer / General Counsel</t>
  </si>
  <si>
    <t>R- 006</t>
  </si>
  <si>
    <t>EMV-certified terminals fail to process Amex chip transactions correctly due to software and compliance deficiencies</t>
  </si>
  <si>
    <t>Merchants having EMV hardware installed but lacking the correct software configurations or Amex-specific compliance certifications needed to successfully process chip transactions, compounded by the fact that 40% of Amex counterfeit chargebacks were on transactions under $25</t>
  </si>
  <si>
    <t>Continued fraud exposure and chargeback losses at technically "certified" merchant locations, undermining the purpose of the EMV transition</t>
  </si>
  <si>
    <t>Operational: Terminal failures disrupt checkout experiences and erode merchant confidence in Amex. Financial: Ongoing chargeback losses despite hardware upgrades. Technology: Amex's closed-loop certification process unable to catch software-level compliance gaps at scale</t>
  </si>
  <si>
    <t>Deploy Amex-specific software compliance testing tools; provide merchants with end-to-end certification support beyond hardware; implement real-time transaction monitoring to flag terminals with high failure rates</t>
  </si>
  <si>
    <t>Chief Technology Officer / VP Merchant Operations</t>
  </si>
  <si>
    <t>R-005</t>
  </si>
  <si>
    <t xml:space="preserve">OKA </t>
  </si>
  <si>
    <t>Legall/Compliance</t>
  </si>
  <si>
    <t>R-006</t>
  </si>
  <si>
    <t>42
R-002 Operational
(Score 42)
R-002 Operational (Score: 42)
R-005 Legal/Compliance (Score: 42)
R-006 Operational/Technology (Score: 42)e: 42)</t>
  </si>
  <si>
    <t>probability</t>
  </si>
  <si>
    <t>Expected Impact</t>
  </si>
  <si>
    <t>References
Jalilvand, A., &amp; Moorthy, S. (2023). Triangulating risk profile and risk assessment. Journal of Risk and Financial Management, 16(11), 473. https://doi.org/10.3390/jrfm16110473
Pape, C. (2025). Visa, Mastercard settle merchant suit for nearly $200M. American Banker. 
https://www.americanbanker.com/payments/news/visa-mastercard-settle-merchant-suit-for-nearly-200m
Fitzgerald, K. (2016). Why EMV failed to meet terminal makers' expectations.American Banker. https://www.americanbanker.com/payments/news/why-emv-failed-to-meet-terminal-makers-expectations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</si>
</sst>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b/>
      <sz val="13"/>
      <color indexed="9"/>
      <name val="Calibri"/>
      <family val="2"/>
    </font>
    <font>
      <b/>
      <sz val="11"/>
      <color indexed="9"/>
      <name val="Calibri"/>
      <family val="2"/>
    </font>
    <font>
      <b/>
      <sz val="10"/>
      <color indexed="9"/>
      <name val="Calibri"/>
      <family val="2"/>
    </font>
    <font>
      <b/>
      <sz val="11"/>
      <color indexed="56"/>
      <name val="Calibri"/>
      <family val="2"/>
    </font>
    <font>
      <b/>
      <sz val="11"/>
      <color indexed="59"/>
      <name val="Calibri"/>
      <family val="2"/>
    </font>
    <font>
      <b/>
      <sz val="10"/>
      <color indexed="17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i/>
      <sz val="9"/>
      <color indexed="23"/>
      <name val="Calibri"/>
      <family val="2"/>
    </font>
    <font>
      <sz val="11"/>
      <name val="Calibri"/>
      <family val="2"/>
    </font>
    <font>
      <b/>
      <sz val="11"/>
      <color indexed="9"/>
      <name val="Calibri"/>
      <family val="2"/>
    </font>
    <font>
      <b/>
      <sz val="11"/>
      <color indexed="59"/>
      <name val="Calibri"/>
      <family val="2"/>
    </font>
    <font>
      <b/>
      <sz val="11"/>
      <color indexed="9"/>
      <name val="Arial"/>
      <family val="2"/>
    </font>
    <font>
      <b/>
      <sz val="11"/>
      <color indexed="63"/>
      <name val="Arial"/>
      <family val="2"/>
    </font>
    <font>
      <sz val="11"/>
      <name val="Arial"/>
      <family val="2"/>
    </font>
    <font>
      <b/>
      <sz val="11"/>
      <color indexed="59"/>
      <name val="Arial"/>
      <family val="2"/>
    </font>
    <font>
      <sz val="11"/>
      <color rgb="FF000000"/>
      <name val="Arial"/>
      <family val="2"/>
    </font>
    <font>
      <sz val="8"/>
      <name val="Aptos Narrow"/>
      <family val="2"/>
      <scheme val="minor"/>
    </font>
    <font>
      <sz val="10"/>
      <name val="Calibri"/>
      <family val="2"/>
    </font>
    <font>
      <sz val="18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A3C6E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18" fillId="0" borderId="0" xfId="0" applyFont="1" applyAlignment="1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0" fontId="22" fillId="34" borderId="13" xfId="0" applyFont="1" applyFill="1" applyBorder="1" applyAlignment="1">
      <alignment horizontal="left" vertical="center" wrapText="1"/>
    </xf>
    <xf numFmtId="0" fontId="25" fillId="0" borderId="13" xfId="0" applyFont="1" applyBorder="1" applyAlignment="1">
      <alignment horizontal="center" vertical="center"/>
    </xf>
    <xf numFmtId="0" fontId="20" fillId="35" borderId="13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/>
    </xf>
    <xf numFmtId="0" fontId="23" fillId="36" borderId="13" xfId="0" applyFont="1" applyFill="1" applyBorder="1" applyAlignment="1">
      <alignment horizontal="center" vertical="center"/>
    </xf>
    <xf numFmtId="0" fontId="20" fillId="37" borderId="13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4" fillId="38" borderId="13" xfId="0" applyFont="1" applyFill="1" applyBorder="1" applyAlignment="1">
      <alignment horizontal="center" vertical="center" wrapText="1"/>
    </xf>
    <xf numFmtId="0" fontId="26" fillId="39" borderId="13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 wrapText="1"/>
    </xf>
    <xf numFmtId="0" fontId="20" fillId="37" borderId="10" xfId="0" applyFont="1" applyFill="1" applyBorder="1" applyAlignment="1">
      <alignment horizontal="center" vertical="center" wrapText="1"/>
    </xf>
    <xf numFmtId="0" fontId="23" fillId="36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32" fillId="36" borderId="13" xfId="0" applyFont="1" applyFill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left" vertical="top" wrapText="1"/>
    </xf>
    <xf numFmtId="0" fontId="31" fillId="35" borderId="13" xfId="0" applyFont="1" applyFill="1" applyBorder="1" applyAlignment="1">
      <alignment horizontal="center" vertical="center"/>
    </xf>
    <xf numFmtId="0" fontId="33" fillId="39" borderId="13" xfId="0" applyFont="1" applyFill="1" applyBorder="1" applyAlignment="1">
      <alignment horizontal="center" vertical="center"/>
    </xf>
    <xf numFmtId="0" fontId="33" fillId="39" borderId="13" xfId="0" applyFont="1" applyFill="1" applyBorder="1" applyAlignment="1">
      <alignment horizontal="left" vertical="top" wrapText="1"/>
    </xf>
    <xf numFmtId="0" fontId="34" fillId="36" borderId="13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17" fontId="33" fillId="0" borderId="0" xfId="0" applyNumberFormat="1" applyFont="1" applyAlignment="1">
      <alignment vertical="center"/>
    </xf>
    <xf numFmtId="0" fontId="33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/>
    </xf>
    <xf numFmtId="0" fontId="35" fillId="0" borderId="0" xfId="0" applyFont="1"/>
    <xf numFmtId="0" fontId="33" fillId="0" borderId="0" xfId="0" applyFont="1" applyAlignment="1">
      <alignment horizontal="center" vertical="center"/>
    </xf>
    <xf numFmtId="0" fontId="29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7" fillId="39" borderId="13" xfId="0" applyFont="1" applyFill="1" applyBorder="1" applyAlignment="1">
      <alignment horizontal="center" vertical="center"/>
    </xf>
    <xf numFmtId="0" fontId="26" fillId="40" borderId="13" xfId="0" applyFont="1" applyFill="1" applyBorder="1" applyAlignment="1">
      <alignment horizontal="center" vertical="center"/>
    </xf>
    <xf numFmtId="0" fontId="18" fillId="39" borderId="0" xfId="0" applyFont="1" applyFill="1" applyAlignment="1">
      <alignment horizontal="center" vertical="center"/>
    </xf>
    <xf numFmtId="0" fontId="30" fillId="36" borderId="10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31" fillId="33" borderId="0" xfId="0" applyFont="1" applyFill="1" applyAlignment="1">
      <alignment horizontal="left" vertical="center"/>
    </xf>
    <xf numFmtId="10" fontId="18" fillId="0" borderId="13" xfId="42" applyNumberFormat="1" applyFont="1" applyBorder="1" applyAlignment="1">
      <alignment horizontal="center" vertical="center"/>
    </xf>
    <xf numFmtId="10" fontId="18" fillId="0" borderId="0" xfId="0" applyNumberFormat="1" applyFont="1" applyAlignment="1">
      <alignment vertical="center"/>
    </xf>
    <xf numFmtId="10" fontId="18" fillId="0" borderId="0" xfId="42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38" fillId="0" borderId="0" xfId="0" applyFont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B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7534-80FD-44C8-A3AF-CE7C36E35FC5}">
  <dimension ref="A1:R52"/>
  <sheetViews>
    <sheetView tabSelected="1" topLeftCell="A31" workbookViewId="0">
      <selection activeCell="G46" sqref="G46"/>
    </sheetView>
  </sheetViews>
  <sheetFormatPr baseColWidth="10" defaultColWidth="8.83203125" defaultRowHeight="20" customHeight="1" x14ac:dyDescent="0.2"/>
  <cols>
    <col min="1" max="1" width="26.83203125" style="1" bestFit="1" customWidth="1"/>
    <col min="2" max="2" width="22.83203125" style="1" customWidth="1"/>
    <col min="3" max="3" width="26.83203125" style="1" customWidth="1"/>
    <col min="4" max="4" width="24.1640625" style="1" bestFit="1" customWidth="1"/>
    <col min="5" max="5" width="21.6640625" style="1" customWidth="1"/>
    <col min="6" max="9" width="24.1640625" style="1" bestFit="1" customWidth="1"/>
    <col min="10" max="10" width="25" style="1" customWidth="1"/>
    <col min="11" max="16384" width="8.83203125" style="1"/>
  </cols>
  <sheetData>
    <row r="1" spans="1:9" ht="24" customHeight="1" x14ac:dyDescent="0.2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3" spans="1:9" ht="22" customHeight="1" x14ac:dyDescent="0.2">
      <c r="A3" s="39" t="s">
        <v>1</v>
      </c>
      <c r="B3" s="40"/>
      <c r="C3" s="2"/>
      <c r="E3" s="39" t="s">
        <v>2</v>
      </c>
      <c r="F3" s="40"/>
      <c r="G3" s="2"/>
    </row>
    <row r="4" spans="1:9" ht="22" customHeight="1" x14ac:dyDescent="0.2">
      <c r="A4" s="2" t="s">
        <v>3</v>
      </c>
      <c r="B4" s="2" t="s">
        <v>4</v>
      </c>
      <c r="D4" s="2" t="s">
        <v>3</v>
      </c>
      <c r="E4" s="2" t="s">
        <v>4</v>
      </c>
    </row>
    <row r="5" spans="1:9" ht="22" customHeight="1" x14ac:dyDescent="0.2">
      <c r="A5" s="3" t="s">
        <v>5</v>
      </c>
      <c r="B5" s="4">
        <v>1</v>
      </c>
      <c r="D5" s="3" t="s">
        <v>6</v>
      </c>
      <c r="E5" s="4">
        <v>1</v>
      </c>
    </row>
    <row r="6" spans="1:9" ht="22" customHeight="1" x14ac:dyDescent="0.2">
      <c r="A6" s="3" t="s">
        <v>7</v>
      </c>
      <c r="B6" s="4">
        <v>3</v>
      </c>
      <c r="D6" s="3" t="s">
        <v>8</v>
      </c>
      <c r="E6" s="4">
        <v>2</v>
      </c>
    </row>
    <row r="7" spans="1:9" ht="22" customHeight="1" x14ac:dyDescent="0.2">
      <c r="A7" s="3" t="s">
        <v>9</v>
      </c>
      <c r="B7" s="4">
        <v>5</v>
      </c>
      <c r="D7" s="3" t="s">
        <v>10</v>
      </c>
      <c r="E7" s="4">
        <v>4</v>
      </c>
    </row>
    <row r="8" spans="1:9" ht="22" customHeight="1" x14ac:dyDescent="0.2">
      <c r="A8" s="3" t="s">
        <v>11</v>
      </c>
      <c r="B8" s="4">
        <v>7</v>
      </c>
      <c r="D8" s="3" t="s">
        <v>12</v>
      </c>
      <c r="E8" s="4">
        <v>6</v>
      </c>
    </row>
    <row r="9" spans="1:9" ht="22" customHeight="1" x14ac:dyDescent="0.2">
      <c r="A9" s="3" t="s">
        <v>13</v>
      </c>
      <c r="B9" s="4">
        <v>9</v>
      </c>
      <c r="D9" s="3" t="s">
        <v>14</v>
      </c>
      <c r="E9" s="4">
        <v>8</v>
      </c>
    </row>
    <row r="10" spans="1:9" ht="22" customHeight="1" x14ac:dyDescent="0.2">
      <c r="A10" s="3" t="s">
        <v>15</v>
      </c>
      <c r="B10" s="4" t="s">
        <v>15</v>
      </c>
      <c r="D10" s="3" t="s">
        <v>16</v>
      </c>
      <c r="E10" s="4">
        <v>9</v>
      </c>
    </row>
    <row r="12" spans="1:9" ht="22" customHeight="1" x14ac:dyDescent="0.2">
      <c r="A12" s="39" t="s">
        <v>17</v>
      </c>
      <c r="B12" s="41"/>
      <c r="C12" s="41"/>
      <c r="D12" s="41"/>
      <c r="E12" s="40"/>
    </row>
    <row r="13" spans="1:9" ht="20" customHeight="1" x14ac:dyDescent="0.2">
      <c r="A13" s="5" t="s">
        <v>18</v>
      </c>
      <c r="B13" s="6" t="s">
        <v>19</v>
      </c>
    </row>
    <row r="14" spans="1:9" ht="20" customHeight="1" x14ac:dyDescent="0.2">
      <c r="A14" s="7" t="s">
        <v>20</v>
      </c>
      <c r="B14" s="6" t="s">
        <v>21</v>
      </c>
    </row>
    <row r="15" spans="1:9" ht="20" customHeight="1" x14ac:dyDescent="0.2">
      <c r="A15" s="8" t="s">
        <v>22</v>
      </c>
      <c r="B15" s="6" t="s">
        <v>23</v>
      </c>
    </row>
    <row r="17" spans="1:18" ht="22" customHeight="1" x14ac:dyDescent="0.2">
      <c r="A17" s="39" t="s">
        <v>24</v>
      </c>
      <c r="B17" s="41"/>
      <c r="C17" s="41"/>
      <c r="D17" s="41"/>
      <c r="E17" s="41"/>
      <c r="F17" s="41"/>
      <c r="G17" s="41"/>
      <c r="H17" s="41"/>
      <c r="I17" s="40"/>
    </row>
    <row r="18" spans="1:18" ht="28" customHeight="1" x14ac:dyDescent="0.2">
      <c r="A18" s="2" t="s">
        <v>25</v>
      </c>
      <c r="B18" s="2" t="s">
        <v>4</v>
      </c>
      <c r="C18" s="2" t="s">
        <v>15</v>
      </c>
      <c r="D18" s="2" t="s">
        <v>26</v>
      </c>
      <c r="E18" s="2" t="s">
        <v>27</v>
      </c>
      <c r="F18" s="2" t="s">
        <v>28</v>
      </c>
      <c r="G18" s="2" t="s">
        <v>29</v>
      </c>
      <c r="H18" s="2" t="s">
        <v>15</v>
      </c>
    </row>
    <row r="19" spans="1:18" ht="22" customHeight="1" x14ac:dyDescent="0.2">
      <c r="A19" s="3" t="s">
        <v>6</v>
      </c>
      <c r="B19" s="4">
        <v>1</v>
      </c>
      <c r="D19" s="9" t="s">
        <v>15</v>
      </c>
      <c r="E19" s="9" t="s">
        <v>15</v>
      </c>
      <c r="F19" s="9" t="s">
        <v>15</v>
      </c>
      <c r="G19" s="9" t="s">
        <v>15</v>
      </c>
    </row>
    <row r="20" spans="1:18" ht="22" customHeight="1" x14ac:dyDescent="0.2">
      <c r="A20" s="3" t="s">
        <v>8</v>
      </c>
      <c r="B20" s="4">
        <v>2</v>
      </c>
      <c r="D20" s="9" t="s">
        <v>15</v>
      </c>
      <c r="E20" s="9" t="s">
        <v>15</v>
      </c>
      <c r="F20" s="9" t="s">
        <v>15</v>
      </c>
      <c r="G20" s="9" t="s">
        <v>15</v>
      </c>
    </row>
    <row r="21" spans="1:18" ht="22" customHeight="1" x14ac:dyDescent="0.2">
      <c r="A21" s="3" t="s">
        <v>10</v>
      </c>
      <c r="B21" s="4">
        <v>4</v>
      </c>
      <c r="D21" s="9" t="s">
        <v>15</v>
      </c>
      <c r="E21" s="9" t="s">
        <v>15</v>
      </c>
      <c r="F21" s="9" t="s">
        <v>15</v>
      </c>
      <c r="G21" s="9" t="s">
        <v>15</v>
      </c>
    </row>
    <row r="22" spans="1:18" ht="30" customHeight="1" x14ac:dyDescent="0.2">
      <c r="A22" s="3" t="s">
        <v>12</v>
      </c>
      <c r="B22" s="4">
        <v>6</v>
      </c>
      <c r="D22" s="9" t="s">
        <v>15</v>
      </c>
      <c r="E22" s="10" t="s">
        <v>30</v>
      </c>
      <c r="F22" s="9" t="s">
        <v>15</v>
      </c>
      <c r="G22" s="9" t="s">
        <v>15</v>
      </c>
    </row>
    <row r="23" spans="1:18" ht="30" customHeight="1" x14ac:dyDescent="0.2">
      <c r="A23" s="3" t="s">
        <v>14</v>
      </c>
      <c r="B23" s="4">
        <v>8</v>
      </c>
      <c r="D23" s="10" t="s">
        <v>31</v>
      </c>
      <c r="E23" s="9" t="s">
        <v>15</v>
      </c>
      <c r="F23" s="10" t="s">
        <v>31</v>
      </c>
      <c r="G23" s="10" t="s">
        <v>31</v>
      </c>
    </row>
    <row r="24" spans="1:18" ht="22" customHeight="1" x14ac:dyDescent="0.2">
      <c r="A24" s="3" t="s">
        <v>16</v>
      </c>
      <c r="B24" s="4">
        <v>9</v>
      </c>
      <c r="D24" s="9" t="s">
        <v>15</v>
      </c>
      <c r="E24" s="9" t="s">
        <v>15</v>
      </c>
      <c r="F24" s="9" t="s">
        <v>15</v>
      </c>
      <c r="G24" s="9" t="s">
        <v>15</v>
      </c>
    </row>
    <row r="26" spans="1:18" ht="22" customHeight="1" x14ac:dyDescent="0.2">
      <c r="A26" s="37" t="s">
        <v>32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</row>
    <row r="27" spans="1:18" ht="28" customHeight="1" x14ac:dyDescent="0.2">
      <c r="A27" s="2" t="s">
        <v>33</v>
      </c>
      <c r="B27" s="30" t="s">
        <v>121</v>
      </c>
      <c r="C27" s="2" t="s">
        <v>34</v>
      </c>
      <c r="D27" s="2" t="s">
        <v>35</v>
      </c>
      <c r="E27" s="2" t="s">
        <v>36</v>
      </c>
      <c r="F27" s="2" t="s">
        <v>37</v>
      </c>
      <c r="G27" s="2" t="s">
        <v>38</v>
      </c>
      <c r="H27" s="2" t="s">
        <v>39</v>
      </c>
      <c r="I27" s="2" t="s">
        <v>125</v>
      </c>
      <c r="J27" s="2" t="s">
        <v>126</v>
      </c>
    </row>
    <row r="28" spans="1:18" ht="22" customHeight="1" x14ac:dyDescent="0.2">
      <c r="A28" s="9" t="s">
        <v>40</v>
      </c>
      <c r="B28" s="9" t="s">
        <v>26</v>
      </c>
      <c r="C28" s="9" t="s">
        <v>11</v>
      </c>
      <c r="D28" s="9">
        <v>7</v>
      </c>
      <c r="E28" s="9" t="s">
        <v>14</v>
      </c>
      <c r="F28" s="9">
        <v>8</v>
      </c>
      <c r="G28" s="9">
        <v>56</v>
      </c>
      <c r="H28" s="5" t="s">
        <v>18</v>
      </c>
      <c r="I28" s="43">
        <f>D28/D30</f>
        <v>0.77777777777777779</v>
      </c>
      <c r="J28" s="44">
        <f>I28*(F28/9)</f>
        <v>0.69135802469135799</v>
      </c>
    </row>
    <row r="29" spans="1:18" ht="22" customHeight="1" x14ac:dyDescent="0.2">
      <c r="A29" s="11" t="s">
        <v>41</v>
      </c>
      <c r="B29" s="11" t="s">
        <v>27</v>
      </c>
      <c r="C29" s="11" t="s">
        <v>11</v>
      </c>
      <c r="D29" s="11">
        <v>7</v>
      </c>
      <c r="E29" s="11" t="s">
        <v>12</v>
      </c>
      <c r="F29" s="11">
        <v>6</v>
      </c>
      <c r="G29" s="11">
        <v>42</v>
      </c>
      <c r="H29" s="7" t="s">
        <v>20</v>
      </c>
      <c r="I29" s="43">
        <f>D29/D30</f>
        <v>0.77777777777777779</v>
      </c>
      <c r="J29" s="45">
        <f>I29*(F29/9)</f>
        <v>0.51851851851851849</v>
      </c>
    </row>
    <row r="30" spans="1:18" ht="22" customHeight="1" x14ac:dyDescent="0.2">
      <c r="A30" s="9" t="s">
        <v>42</v>
      </c>
      <c r="B30" s="9" t="s">
        <v>28</v>
      </c>
      <c r="C30" s="9" t="s">
        <v>13</v>
      </c>
      <c r="D30" s="9">
        <v>9</v>
      </c>
      <c r="E30" s="9" t="s">
        <v>14</v>
      </c>
      <c r="F30" s="9">
        <v>8</v>
      </c>
      <c r="G30" s="9">
        <v>72</v>
      </c>
      <c r="H30" s="5" t="s">
        <v>18</v>
      </c>
      <c r="I30" s="43">
        <f>D30/D30</f>
        <v>1</v>
      </c>
      <c r="J30" s="44">
        <f t="shared" ref="J30:J33" si="0">I30*(F30/9)</f>
        <v>0.88888888888888884</v>
      </c>
    </row>
    <row r="31" spans="1:18" ht="22" customHeight="1" x14ac:dyDescent="0.2">
      <c r="A31" s="11" t="s">
        <v>43</v>
      </c>
      <c r="B31" s="11" t="s">
        <v>29</v>
      </c>
      <c r="C31" s="11" t="s">
        <v>9</v>
      </c>
      <c r="D31" s="11">
        <v>5</v>
      </c>
      <c r="E31" s="11" t="s">
        <v>14</v>
      </c>
      <c r="F31" s="11">
        <v>8</v>
      </c>
      <c r="G31" s="11">
        <v>40</v>
      </c>
      <c r="H31" s="7" t="s">
        <v>20</v>
      </c>
      <c r="I31" s="43">
        <f>D31/D30</f>
        <v>0.55555555555555558</v>
      </c>
      <c r="J31" s="45">
        <f t="shared" si="0"/>
        <v>0.49382716049382713</v>
      </c>
    </row>
    <row r="32" spans="1:18" ht="20" customHeight="1" x14ac:dyDescent="0.2">
      <c r="A32" s="32" t="s">
        <v>120</v>
      </c>
      <c r="B32" s="32" t="s">
        <v>122</v>
      </c>
      <c r="C32" s="34" t="s">
        <v>11</v>
      </c>
      <c r="D32" s="34">
        <v>7</v>
      </c>
      <c r="E32" s="34" t="s">
        <v>12</v>
      </c>
      <c r="F32" s="31">
        <v>6</v>
      </c>
      <c r="G32" s="31">
        <v>42</v>
      </c>
      <c r="H32" s="7" t="s">
        <v>20</v>
      </c>
      <c r="I32" s="43">
        <f>D33/D30</f>
        <v>0.77777777777777779</v>
      </c>
      <c r="J32" s="44">
        <f t="shared" si="0"/>
        <v>0.51851851851851849</v>
      </c>
    </row>
    <row r="33" spans="1:10" ht="20" customHeight="1" x14ac:dyDescent="0.2">
      <c r="A33" s="33" t="s">
        <v>123</v>
      </c>
      <c r="B33" s="11" t="s">
        <v>27</v>
      </c>
      <c r="C33" s="11" t="s">
        <v>11</v>
      </c>
      <c r="D33" s="11">
        <v>7</v>
      </c>
      <c r="E33" s="11" t="s">
        <v>12</v>
      </c>
      <c r="F33" s="35">
        <v>6</v>
      </c>
      <c r="G33" s="35">
        <v>42</v>
      </c>
      <c r="H33" s="7" t="s">
        <v>20</v>
      </c>
      <c r="I33" s="43">
        <f>D33/D30</f>
        <v>0.77777777777777779</v>
      </c>
      <c r="J33" s="45">
        <f t="shared" si="0"/>
        <v>0.51851851851851849</v>
      </c>
    </row>
    <row r="39" spans="1:10" ht="20" customHeight="1" x14ac:dyDescent="0.2">
      <c r="A39" s="47" t="s">
        <v>127</v>
      </c>
      <c r="B39" s="46"/>
      <c r="C39" s="46"/>
      <c r="D39" s="46"/>
      <c r="E39" s="46"/>
      <c r="F39" s="46"/>
    </row>
    <row r="40" spans="1:10" ht="20" customHeight="1" x14ac:dyDescent="0.2">
      <c r="A40" s="46"/>
      <c r="B40" s="46"/>
      <c r="C40" s="46"/>
      <c r="D40" s="46"/>
      <c r="E40" s="46"/>
      <c r="F40" s="46"/>
    </row>
    <row r="41" spans="1:10" ht="20" customHeight="1" x14ac:dyDescent="0.2">
      <c r="A41" s="46"/>
      <c r="B41" s="46"/>
      <c r="C41" s="46"/>
      <c r="D41" s="46"/>
      <c r="E41" s="46"/>
      <c r="F41" s="46"/>
    </row>
    <row r="42" spans="1:10" ht="20" customHeight="1" x14ac:dyDescent="0.2">
      <c r="A42" s="46"/>
      <c r="B42" s="46"/>
      <c r="C42" s="46"/>
      <c r="D42" s="46"/>
      <c r="E42" s="46"/>
      <c r="F42" s="46"/>
    </row>
    <row r="43" spans="1:10" ht="20" customHeight="1" x14ac:dyDescent="0.2">
      <c r="A43" s="46"/>
      <c r="B43" s="46"/>
      <c r="C43" s="46"/>
      <c r="D43" s="46"/>
      <c r="E43" s="46"/>
      <c r="F43" s="46"/>
    </row>
    <row r="44" spans="1:10" ht="20" customHeight="1" x14ac:dyDescent="0.2">
      <c r="A44" s="46"/>
      <c r="B44" s="46"/>
      <c r="C44" s="46"/>
      <c r="D44" s="46"/>
      <c r="E44" s="46"/>
      <c r="F44" s="46"/>
    </row>
    <row r="45" spans="1:10" ht="20" customHeight="1" x14ac:dyDescent="0.2">
      <c r="A45" s="46"/>
      <c r="B45" s="46"/>
      <c r="C45" s="46"/>
      <c r="D45" s="46"/>
      <c r="E45" s="46"/>
      <c r="F45" s="46"/>
    </row>
    <row r="46" spans="1:10" ht="20" customHeight="1" x14ac:dyDescent="0.2">
      <c r="A46" s="46"/>
      <c r="B46" s="46"/>
      <c r="C46" s="46"/>
      <c r="D46" s="46"/>
      <c r="E46" s="46"/>
      <c r="F46" s="46"/>
    </row>
    <row r="47" spans="1:10" ht="20" customHeight="1" x14ac:dyDescent="0.2">
      <c r="A47" s="46"/>
      <c r="B47" s="46"/>
      <c r="C47" s="46"/>
      <c r="D47" s="46"/>
      <c r="E47" s="46"/>
      <c r="F47" s="46"/>
    </row>
    <row r="48" spans="1:10" ht="20" customHeight="1" x14ac:dyDescent="0.2">
      <c r="A48" s="46"/>
      <c r="B48" s="46"/>
      <c r="C48" s="46"/>
      <c r="D48" s="46"/>
      <c r="E48" s="46"/>
      <c r="F48" s="46"/>
    </row>
    <row r="49" spans="1:6" ht="20" customHeight="1" x14ac:dyDescent="0.2">
      <c r="A49" s="46"/>
      <c r="B49" s="46"/>
      <c r="C49" s="46"/>
      <c r="D49" s="46"/>
      <c r="E49" s="46"/>
      <c r="F49" s="46"/>
    </row>
    <row r="50" spans="1:6" ht="20" customHeight="1" x14ac:dyDescent="0.2">
      <c r="A50" s="46"/>
      <c r="B50" s="46"/>
      <c r="C50" s="46"/>
      <c r="D50" s="46"/>
      <c r="E50" s="46"/>
      <c r="F50" s="46"/>
    </row>
    <row r="51" spans="1:6" ht="20" customHeight="1" x14ac:dyDescent="0.2">
      <c r="A51" s="46"/>
      <c r="B51" s="46"/>
      <c r="C51" s="46"/>
      <c r="D51" s="46"/>
      <c r="E51" s="46"/>
      <c r="F51" s="46"/>
    </row>
    <row r="52" spans="1:6" ht="20" customHeight="1" x14ac:dyDescent="0.2">
      <c r="A52" s="46"/>
      <c r="B52" s="46"/>
      <c r="C52" s="46"/>
      <c r="D52" s="46"/>
      <c r="E52" s="46"/>
      <c r="F52" s="46"/>
    </row>
  </sheetData>
  <mergeCells count="8">
    <mergeCell ref="J26:R26"/>
    <mergeCell ref="A39:F52"/>
    <mergeCell ref="A26:I26"/>
    <mergeCell ref="A1:I1"/>
    <mergeCell ref="A3:B3"/>
    <mergeCell ref="E3:F3"/>
    <mergeCell ref="A12:E12"/>
    <mergeCell ref="A17:I17"/>
  </mergeCells>
  <phoneticPr fontId="3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E685-1057-41C7-B3D6-9068F08D878F}">
  <dimension ref="A1:F12"/>
  <sheetViews>
    <sheetView workbookViewId="0">
      <selection activeCell="A12" sqref="A1:F12"/>
    </sheetView>
  </sheetViews>
  <sheetFormatPr baseColWidth="10" defaultColWidth="8.83203125" defaultRowHeight="20" customHeight="1" x14ac:dyDescent="0.2"/>
  <cols>
    <col min="1" max="1" width="21.33203125" style="1" bestFit="1" customWidth="1"/>
    <col min="2" max="3" width="18.5" style="1" bestFit="1" customWidth="1"/>
    <col min="4" max="4" width="19.5" style="1" bestFit="1" customWidth="1"/>
    <col min="5" max="5" width="41.83203125" style="1" customWidth="1"/>
    <col min="6" max="6" width="19.5" style="1" bestFit="1" customWidth="1"/>
    <col min="7" max="16384" width="8.83203125" style="1"/>
  </cols>
  <sheetData>
    <row r="1" spans="1:6" ht="24" customHeight="1" x14ac:dyDescent="0.2">
      <c r="A1" s="37" t="s">
        <v>44</v>
      </c>
      <c r="B1" s="37"/>
      <c r="C1" s="37"/>
      <c r="D1" s="37"/>
      <c r="E1" s="37"/>
      <c r="F1" s="37"/>
    </row>
    <row r="2" spans="1:6" ht="22" customHeight="1" x14ac:dyDescent="0.2">
      <c r="A2" s="5" t="s">
        <v>45</v>
      </c>
      <c r="B2" s="7" t="s">
        <v>46</v>
      </c>
      <c r="C2" s="8" t="s">
        <v>47</v>
      </c>
    </row>
    <row r="4" spans="1:6" ht="48" customHeight="1" x14ac:dyDescent="0.2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</row>
    <row r="5" spans="1:6" ht="44" customHeight="1" x14ac:dyDescent="0.2">
      <c r="A5" s="12" t="s">
        <v>54</v>
      </c>
      <c r="B5" s="13">
        <v>9</v>
      </c>
      <c r="C5" s="14">
        <v>27</v>
      </c>
      <c r="D5" s="14">
        <v>45</v>
      </c>
      <c r="E5" s="15">
        <v>63</v>
      </c>
      <c r="F5" s="15">
        <v>81</v>
      </c>
    </row>
    <row r="6" spans="1:6" ht="72" customHeight="1" x14ac:dyDescent="0.2">
      <c r="A6" s="12" t="s">
        <v>55</v>
      </c>
      <c r="B6" s="13">
        <v>8</v>
      </c>
      <c r="C6" s="13">
        <v>24</v>
      </c>
      <c r="D6" s="14" t="s">
        <v>56</v>
      </c>
      <c r="E6" s="15" t="s">
        <v>57</v>
      </c>
      <c r="F6" s="15" t="s">
        <v>58</v>
      </c>
    </row>
    <row r="7" spans="1:6" ht="72" customHeight="1" x14ac:dyDescent="0.2">
      <c r="A7" s="12" t="s">
        <v>59</v>
      </c>
      <c r="B7" s="13">
        <v>6</v>
      </c>
      <c r="C7" s="13">
        <v>18</v>
      </c>
      <c r="D7" s="14">
        <v>30</v>
      </c>
      <c r="E7" s="36" t="s">
        <v>124</v>
      </c>
      <c r="F7" s="15">
        <v>54</v>
      </c>
    </row>
    <row r="8" spans="1:6" ht="44" customHeight="1" x14ac:dyDescent="0.2">
      <c r="A8" s="12" t="s">
        <v>60</v>
      </c>
      <c r="B8" s="13">
        <v>4</v>
      </c>
      <c r="C8" s="13">
        <v>12</v>
      </c>
      <c r="D8" s="13">
        <v>20</v>
      </c>
      <c r="E8" s="14">
        <v>28</v>
      </c>
      <c r="F8" s="14">
        <v>36</v>
      </c>
    </row>
    <row r="9" spans="1:6" ht="44" customHeight="1" x14ac:dyDescent="0.2">
      <c r="A9" s="12" t="s">
        <v>61</v>
      </c>
      <c r="B9" s="13">
        <v>2</v>
      </c>
      <c r="C9" s="13">
        <v>6</v>
      </c>
      <c r="D9" s="13">
        <v>10</v>
      </c>
      <c r="E9" s="13">
        <v>14</v>
      </c>
      <c r="F9" s="13">
        <v>18</v>
      </c>
    </row>
    <row r="10" spans="1:6" ht="44" customHeight="1" x14ac:dyDescent="0.2">
      <c r="A10" s="12" t="s">
        <v>62</v>
      </c>
      <c r="B10" s="13">
        <v>1</v>
      </c>
      <c r="C10" s="13">
        <v>3</v>
      </c>
      <c r="D10" s="13">
        <v>5</v>
      </c>
      <c r="E10" s="13">
        <v>7</v>
      </c>
      <c r="F10" s="13">
        <v>9</v>
      </c>
    </row>
    <row r="12" spans="1:6" ht="18" customHeight="1" x14ac:dyDescent="0.2">
      <c r="A12" s="38" t="s">
        <v>63</v>
      </c>
      <c r="B12" s="38"/>
      <c r="C12" s="38"/>
      <c r="D12" s="38"/>
      <c r="E12" s="38"/>
      <c r="F12" s="38"/>
    </row>
  </sheetData>
  <mergeCells count="2"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E302-BAA5-4FB4-A233-A2650AA434D1}">
  <dimension ref="A1:M8"/>
  <sheetViews>
    <sheetView topLeftCell="B16" workbookViewId="0">
      <selection sqref="A1:M8"/>
    </sheetView>
  </sheetViews>
  <sheetFormatPr baseColWidth="10" defaultColWidth="8.83203125" defaultRowHeight="20" customHeight="1" x14ac:dyDescent="0.2"/>
  <cols>
    <col min="1" max="1" width="9.1640625" style="1" bestFit="1" customWidth="1"/>
    <col min="2" max="2" width="11.1640625" style="1" bestFit="1" customWidth="1"/>
    <col min="3" max="3" width="34.5" style="1" customWidth="1"/>
    <col min="4" max="4" width="28.6640625" style="1" bestFit="1" customWidth="1"/>
    <col min="5" max="5" width="30.83203125" style="1" customWidth="1"/>
    <col min="6" max="6" width="28.6640625" style="1" bestFit="1" customWidth="1"/>
    <col min="7" max="7" width="11.1640625" style="1" bestFit="1" customWidth="1"/>
    <col min="8" max="9" width="10.1640625" style="1" bestFit="1" customWidth="1"/>
    <col min="10" max="10" width="11.1640625" style="1" bestFit="1" customWidth="1"/>
    <col min="11" max="11" width="30.5" style="1" bestFit="1" customWidth="1"/>
    <col min="12" max="12" width="20.33203125" style="1" bestFit="1" customWidth="1"/>
    <col min="13" max="13" width="12" style="1" bestFit="1" customWidth="1"/>
    <col min="14" max="16384" width="8.83203125" style="1"/>
  </cols>
  <sheetData>
    <row r="1" spans="1:13" ht="24" customHeight="1" x14ac:dyDescent="0.2">
      <c r="A1" s="42" t="s">
        <v>64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40" customHeight="1" x14ac:dyDescent="0.2">
      <c r="A2" s="16" t="s">
        <v>33</v>
      </c>
      <c r="B2" s="16" t="s">
        <v>65</v>
      </c>
      <c r="C2" s="16" t="s">
        <v>66</v>
      </c>
      <c r="D2" s="16" t="s">
        <v>67</v>
      </c>
      <c r="E2" s="16" t="s">
        <v>68</v>
      </c>
      <c r="F2" s="16" t="s">
        <v>69</v>
      </c>
      <c r="G2" s="16" t="s">
        <v>70</v>
      </c>
      <c r="H2" s="16" t="s">
        <v>71</v>
      </c>
      <c r="I2" s="16" t="s">
        <v>72</v>
      </c>
      <c r="J2" s="16" t="s">
        <v>73</v>
      </c>
      <c r="K2" s="16" t="s">
        <v>74</v>
      </c>
      <c r="L2" s="16" t="s">
        <v>75</v>
      </c>
      <c r="M2" s="16" t="s">
        <v>76</v>
      </c>
    </row>
    <row r="3" spans="1:13" ht="90" customHeight="1" x14ac:dyDescent="0.2">
      <c r="A3" s="17" t="s">
        <v>40</v>
      </c>
      <c r="B3" s="17" t="s">
        <v>77</v>
      </c>
      <c r="C3" s="18" t="s">
        <v>78</v>
      </c>
      <c r="D3" s="18" t="s">
        <v>79</v>
      </c>
      <c r="E3" s="18" t="s">
        <v>80</v>
      </c>
      <c r="F3" s="18" t="s">
        <v>81</v>
      </c>
      <c r="G3" s="17">
        <v>7</v>
      </c>
      <c r="H3" s="17">
        <v>8</v>
      </c>
      <c r="I3" s="17">
        <v>56</v>
      </c>
      <c r="J3" s="19" t="s">
        <v>82</v>
      </c>
      <c r="K3" s="18" t="s">
        <v>83</v>
      </c>
      <c r="L3" s="18" t="s">
        <v>84</v>
      </c>
      <c r="M3" s="17" t="s">
        <v>85</v>
      </c>
    </row>
    <row r="4" spans="1:13" ht="90" customHeight="1" x14ac:dyDescent="0.2">
      <c r="A4" s="20" t="s">
        <v>41</v>
      </c>
      <c r="B4" s="20" t="s">
        <v>77</v>
      </c>
      <c r="C4" s="21" t="s">
        <v>86</v>
      </c>
      <c r="D4" s="21" t="s">
        <v>87</v>
      </c>
      <c r="E4" s="21" t="s">
        <v>88</v>
      </c>
      <c r="F4" s="21" t="s">
        <v>89</v>
      </c>
      <c r="G4" s="20">
        <v>7</v>
      </c>
      <c r="H4" s="20">
        <v>6</v>
      </c>
      <c r="I4" s="20">
        <v>42</v>
      </c>
      <c r="J4" s="22" t="s">
        <v>90</v>
      </c>
      <c r="K4" s="21" t="s">
        <v>91</v>
      </c>
      <c r="L4" s="21" t="s">
        <v>92</v>
      </c>
      <c r="M4" s="20" t="s">
        <v>85</v>
      </c>
    </row>
    <row r="5" spans="1:13" ht="90" customHeight="1" x14ac:dyDescent="0.2">
      <c r="A5" s="17" t="s">
        <v>42</v>
      </c>
      <c r="B5" s="17" t="s">
        <v>77</v>
      </c>
      <c r="C5" s="18" t="s">
        <v>93</v>
      </c>
      <c r="D5" s="18" t="s">
        <v>94</v>
      </c>
      <c r="E5" s="18" t="s">
        <v>95</v>
      </c>
      <c r="F5" s="18" t="s">
        <v>96</v>
      </c>
      <c r="G5" s="17">
        <v>9</v>
      </c>
      <c r="H5" s="17">
        <v>8</v>
      </c>
      <c r="I5" s="17">
        <v>72</v>
      </c>
      <c r="J5" s="19" t="s">
        <v>82</v>
      </c>
      <c r="K5" s="18" t="s">
        <v>97</v>
      </c>
      <c r="L5" s="18" t="s">
        <v>98</v>
      </c>
      <c r="M5" s="17" t="s">
        <v>85</v>
      </c>
    </row>
    <row r="6" spans="1:13" ht="90" customHeight="1" x14ac:dyDescent="0.2">
      <c r="A6" s="20" t="s">
        <v>43</v>
      </c>
      <c r="B6" s="20" t="s">
        <v>77</v>
      </c>
      <c r="C6" s="21" t="s">
        <v>99</v>
      </c>
      <c r="D6" s="21" t="s">
        <v>100</v>
      </c>
      <c r="E6" s="21" t="s">
        <v>101</v>
      </c>
      <c r="F6" s="21" t="s">
        <v>102</v>
      </c>
      <c r="G6" s="20">
        <v>5</v>
      </c>
      <c r="H6" s="20">
        <v>8</v>
      </c>
      <c r="I6" s="20">
        <v>40</v>
      </c>
      <c r="J6" s="22" t="s">
        <v>90</v>
      </c>
      <c r="K6" s="21" t="s">
        <v>103</v>
      </c>
      <c r="L6" s="21" t="s">
        <v>104</v>
      </c>
      <c r="M6" s="20" t="s">
        <v>85</v>
      </c>
    </row>
    <row r="7" spans="1:13" ht="20" customHeight="1" x14ac:dyDescent="0.15">
      <c r="A7" s="23" t="s">
        <v>105</v>
      </c>
      <c r="B7" s="24">
        <v>42430</v>
      </c>
      <c r="C7" s="25" t="s">
        <v>106</v>
      </c>
      <c r="D7" s="26" t="s">
        <v>107</v>
      </c>
      <c r="E7" s="27" t="s">
        <v>108</v>
      </c>
      <c r="F7" s="26" t="s">
        <v>109</v>
      </c>
      <c r="G7" s="23">
        <v>7</v>
      </c>
      <c r="H7" s="23">
        <v>6</v>
      </c>
      <c r="I7" s="23">
        <v>42</v>
      </c>
      <c r="J7" s="29" t="s">
        <v>110</v>
      </c>
      <c r="K7" s="26" t="s">
        <v>111</v>
      </c>
      <c r="L7" s="26" t="s">
        <v>112</v>
      </c>
      <c r="M7" s="28" t="s">
        <v>85</v>
      </c>
    </row>
    <row r="8" spans="1:13" ht="20" customHeight="1" x14ac:dyDescent="0.2">
      <c r="A8" s="23" t="s">
        <v>113</v>
      </c>
      <c r="B8" s="23">
        <v>2016</v>
      </c>
      <c r="C8" s="26" t="s">
        <v>114</v>
      </c>
      <c r="D8" s="26" t="s">
        <v>115</v>
      </c>
      <c r="E8" s="26" t="s">
        <v>116</v>
      </c>
      <c r="F8" s="26" t="s">
        <v>117</v>
      </c>
      <c r="G8" s="23">
        <v>7</v>
      </c>
      <c r="H8" s="23">
        <v>6</v>
      </c>
      <c r="I8" s="23">
        <v>42</v>
      </c>
      <c r="J8" s="29" t="s">
        <v>90</v>
      </c>
      <c r="K8" s="26" t="s">
        <v>118</v>
      </c>
      <c r="L8" s="26" t="s">
        <v>119</v>
      </c>
      <c r="M8" s="23" t="s">
        <v>85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Calculation Sheet</vt:lpstr>
      <vt:lpstr>Risk Heat Map</vt:lpstr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TALATA NSOBILLA</dc:creator>
  <cp:lastModifiedBy>Lawrence Okolo</cp:lastModifiedBy>
  <dcterms:created xsi:type="dcterms:W3CDTF">2026-03-07T04:38:07Z</dcterms:created>
  <dcterms:modified xsi:type="dcterms:W3CDTF">2026-03-18T03:23:07Z</dcterms:modified>
</cp:coreProperties>
</file>